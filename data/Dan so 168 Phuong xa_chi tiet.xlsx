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d9ca122eaf7d8bd/Tài liệu/GitHub/ibs/data/"/>
    </mc:Choice>
  </mc:AlternateContent>
  <xr:revisionPtr revIDLastSave="146" documentId="13_ncr:1_{D09319C2-C63B-4B3B-8E93-4D80A9306BCC}" xr6:coauthVersionLast="47" xr6:coauthVersionMax="47" xr10:uidLastSave="{80C1E8D0-1C4B-4EE9-ADFC-73DC4D38240E}"/>
  <bookViews>
    <workbookView xWindow="-108" yWindow="-108" windowWidth="23256" windowHeight="12456" activeTab="1" xr2:uid="{00000000-000D-0000-FFFF-FFFF00000000}"/>
  </bookViews>
  <sheets>
    <sheet name="Phan cum" sheetId="1" r:id="rId1"/>
    <sheet name="DM 168PX_KV_QUẬN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1" hidden="1">'DM 168PX_KV_QUẬN'!$A$1:$E$169</definedName>
    <definedName name="_xlnm._FilterDatabase" localSheetId="0" hidden="1">'Phan cum'!$A$4:$S$189</definedName>
    <definedName name="_xlnm.Print_Titles" localSheetId="0">'Phan cum'!$3:$3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6" i="1" l="1"/>
  <c r="R66" i="1"/>
  <c r="Q66" i="1"/>
  <c r="S65" i="1"/>
  <c r="R65" i="1"/>
  <c r="P65" i="1"/>
  <c r="S64" i="1"/>
  <c r="R64" i="1"/>
  <c r="P64" i="1"/>
  <c r="L66" i="1"/>
  <c r="K66" i="1"/>
  <c r="J66" i="1"/>
  <c r="L65" i="1"/>
  <c r="K65" i="1"/>
  <c r="J65" i="1"/>
  <c r="L64" i="1"/>
  <c r="K64" i="1"/>
  <c r="J64" i="1"/>
  <c r="H6" i="1" l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G172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G158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G144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G13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G122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G10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G98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G9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G81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G73" i="1"/>
  <c r="N60" i="1"/>
  <c r="O60" i="1"/>
  <c r="P60" i="1"/>
  <c r="T60" i="1"/>
  <c r="U60" i="1"/>
  <c r="V60" i="1"/>
  <c r="W60" i="1"/>
  <c r="X60" i="1"/>
  <c r="Y60" i="1"/>
  <c r="T36" i="1"/>
  <c r="U36" i="1"/>
  <c r="V36" i="1"/>
  <c r="W36" i="1"/>
  <c r="X36" i="1"/>
  <c r="Y36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G24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G17" i="1"/>
  <c r="G6" i="1" l="1"/>
  <c r="K60" i="1" l="1"/>
  <c r="I66" i="1"/>
  <c r="H66" i="1"/>
  <c r="G66" i="1"/>
  <c r="I65" i="1"/>
  <c r="G65" i="1"/>
  <c r="Q60" i="1"/>
  <c r="M60" i="1"/>
  <c r="L60" i="1"/>
  <c r="J60" i="1"/>
  <c r="I64" i="1"/>
  <c r="H64" i="1"/>
  <c r="G64" i="1"/>
  <c r="R60" i="1" l="1"/>
  <c r="G60" i="1"/>
  <c r="S60" i="1"/>
  <c r="H60" i="1"/>
  <c r="I60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Y50" i="1"/>
  <c r="Y47" i="1" s="1"/>
  <c r="Y5" i="1" s="1"/>
  <c r="X50" i="1"/>
  <c r="X47" i="1" s="1"/>
  <c r="X5" i="1" s="1"/>
  <c r="W50" i="1"/>
  <c r="W47" i="1" s="1"/>
  <c r="W5" i="1" s="1"/>
  <c r="V50" i="1"/>
  <c r="V47" i="1" s="1"/>
  <c r="V5" i="1" s="1"/>
  <c r="U50" i="1"/>
  <c r="T50" i="1"/>
  <c r="T47" i="1" s="1"/>
  <c r="T5" i="1" s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U49" i="1"/>
  <c r="S49" i="1"/>
  <c r="R49" i="1"/>
  <c r="P49" i="1"/>
  <c r="O49" i="1"/>
  <c r="N49" i="1"/>
  <c r="M49" i="1"/>
  <c r="L49" i="1"/>
  <c r="K49" i="1"/>
  <c r="J49" i="1"/>
  <c r="I49" i="1"/>
  <c r="H49" i="1"/>
  <c r="G49" i="1"/>
  <c r="S46" i="1"/>
  <c r="S36" i="1" s="1"/>
  <c r="R46" i="1"/>
  <c r="R36" i="1" s="1"/>
  <c r="Q46" i="1"/>
  <c r="Q36" i="1" s="1"/>
  <c r="P46" i="1"/>
  <c r="P36" i="1" s="1"/>
  <c r="O46" i="1"/>
  <c r="O36" i="1" s="1"/>
  <c r="N46" i="1"/>
  <c r="N36" i="1" s="1"/>
  <c r="N5" i="1" s="1"/>
  <c r="M46" i="1"/>
  <c r="M36" i="1" s="1"/>
  <c r="L46" i="1"/>
  <c r="L36" i="1" s="1"/>
  <c r="K46" i="1"/>
  <c r="K36" i="1" s="1"/>
  <c r="J46" i="1"/>
  <c r="J36" i="1" s="1"/>
  <c r="I46" i="1"/>
  <c r="I36" i="1" s="1"/>
  <c r="H46" i="1"/>
  <c r="H36" i="1" s="1"/>
  <c r="G46" i="1"/>
  <c r="G36" i="1" s="1"/>
  <c r="S48" i="1"/>
  <c r="S47" i="1" s="1"/>
  <c r="R48" i="1"/>
  <c r="P48" i="1"/>
  <c r="O48" i="1"/>
  <c r="N48" i="1"/>
  <c r="N47" i="1" s="1"/>
  <c r="M48" i="1"/>
  <c r="L48" i="1"/>
  <c r="K48" i="1"/>
  <c r="K47" i="1" s="1"/>
  <c r="J48" i="1"/>
  <c r="J47" i="1" s="1"/>
  <c r="I48" i="1"/>
  <c r="H48" i="1"/>
  <c r="G48" i="1"/>
  <c r="U47" i="1" l="1"/>
  <c r="U5" i="1" s="1"/>
  <c r="I5" i="1"/>
  <c r="G47" i="1"/>
  <c r="G5" i="1"/>
  <c r="H5" i="1"/>
  <c r="O47" i="1"/>
  <c r="S5" i="1"/>
  <c r="L5" i="1"/>
  <c r="O5" i="1"/>
  <c r="J5" i="1"/>
  <c r="K5" i="1"/>
  <c r="M5" i="1"/>
  <c r="Q47" i="1"/>
  <c r="Q5" i="1" s="1"/>
  <c r="H47" i="1"/>
  <c r="L47" i="1"/>
  <c r="P47" i="1"/>
  <c r="P5" i="1" s="1"/>
  <c r="I47" i="1"/>
  <c r="M47" i="1"/>
  <c r="R47" i="1"/>
  <c r="R5" i="1" s="1"/>
  <c r="E47" i="1"/>
  <c r="D47" i="1"/>
  <c r="E81" i="1"/>
  <c r="D81" i="1"/>
  <c r="D17" i="1"/>
  <c r="E6" i="1"/>
  <c r="D6" i="1"/>
  <c r="C5" i="1"/>
  <c r="D98" i="1"/>
  <c r="D122" i="1"/>
  <c r="E108" i="1"/>
  <c r="D108" i="1"/>
  <c r="E172" i="1"/>
  <c r="D172" i="1"/>
  <c r="E158" i="1"/>
  <c r="D158" i="1"/>
  <c r="E144" i="1"/>
  <c r="D144" i="1"/>
  <c r="E132" i="1"/>
  <c r="D132" i="1"/>
  <c r="E122" i="1"/>
  <c r="E98" i="1"/>
  <c r="E91" i="1"/>
  <c r="D91" i="1"/>
  <c r="D73" i="1"/>
  <c r="E73" i="1"/>
  <c r="E60" i="1"/>
  <c r="D60" i="1"/>
  <c r="E36" i="1"/>
  <c r="D36" i="1"/>
  <c r="E24" i="1"/>
  <c r="D24" i="1"/>
  <c r="E17" i="1"/>
  <c r="E5" i="1" l="1"/>
  <c r="D5" i="1"/>
</calcChain>
</file>

<file path=xl/sharedStrings.xml><?xml version="1.0" encoding="utf-8"?>
<sst xmlns="http://schemas.openxmlformats.org/spreadsheetml/2006/main" count="1128" uniqueCount="618">
  <si>
    <t>STT</t>
  </si>
  <si>
    <t>Quận/Thành phố hiện hữu</t>
  </si>
  <si>
    <t>Phường mới</t>
  </si>
  <si>
    <t>Diện tích tự nhiên (km²)</t>
  </si>
  <si>
    <t>Phường/Xã cũ sáp nhập (hoặc một phần)</t>
  </si>
  <si>
    <t>Quận 1</t>
  </si>
  <si>
    <t>Sài Gòn</t>
  </si>
  <si>
    <t xml:space="preserve">Bến Nghé; một phần Đa Kao (0,39 km², 14.824 người); một phần Nguyễn Thái Bình (0,17 km², 2.430 người) </t>
  </si>
  <si>
    <t>Tân Định</t>
  </si>
  <si>
    <t xml:space="preserve">Tân Định; một phần Đa Kao (0,60 km², 16.853 người) </t>
  </si>
  <si>
    <t>Bến Thành</t>
  </si>
  <si>
    <t xml:space="preserve">Bến Thành, Phạm Ngũ Lão; một phần Cầu Ông Lãnh (0,10 km², 4.813 người); một phần Nguyễn Thái Bình (0,32 km², 17.389 người) </t>
  </si>
  <si>
    <t>Cầu Ông Lãnh</t>
  </si>
  <si>
    <t xml:space="preserve">Nguyễn Cư Trinh, Cầu Kho, Cô Giang; một phần Cầu Ông Lãnh (0,13 km², 10.325 người) </t>
  </si>
  <si>
    <t>Quận 3</t>
  </si>
  <si>
    <t>Bàn Cờ</t>
  </si>
  <si>
    <t xml:space="preserve">Phường 1, Phường 2, Phường 3, Phường 5; một phần Phường 4 (0,29 km², 20.280 người) </t>
  </si>
  <si>
    <t>Xuân Hòa</t>
  </si>
  <si>
    <t xml:space="preserve">Võ Thị Sáu; một phần Phường 4 (0,02 km², 102 người) </t>
  </si>
  <si>
    <t>Nhiêu Lộc</t>
  </si>
  <si>
    <t xml:space="preserve">Phường 9, Phường 11, Phường 12 và Phường 14 </t>
  </si>
  <si>
    <t>Quận 4</t>
  </si>
  <si>
    <t>Xóm Chiếu</t>
  </si>
  <si>
    <t xml:space="preserve">Phường 13, Phường 16, Phường 18; một phần Phường 15 (0,06 km², 2.148 người) </t>
  </si>
  <si>
    <t>Khánh Hội</t>
  </si>
  <si>
    <t xml:space="preserve">Phường 8, Phường 9; một phần Phường 2 (0,02 km², 528 người); một phần Phường 4 (0,13 km², 7.672 người); một phần Phường 15 (0,33 km², 31.886 người) </t>
  </si>
  <si>
    <t>Vĩnh Hội</t>
  </si>
  <si>
    <t xml:space="preserve">Phường 1, Phường 3; một phần Phường 2 (0,33 km², 20.336 người); một phần Phường 4 (0,16 km², 12.750 người) </t>
  </si>
  <si>
    <t>Quận 5</t>
  </si>
  <si>
    <t>Chợ Quán</t>
  </si>
  <si>
    <t xml:space="preserve">Phường 1, Phường 2 và Phường 4 </t>
  </si>
  <si>
    <t>An Đông</t>
  </si>
  <si>
    <t xml:space="preserve">Phường 5, Phường 7 và Phường 9 </t>
  </si>
  <si>
    <t>Chợ Lớn</t>
  </si>
  <si>
    <t xml:space="preserve">Phường 11, Phường 12, Phường 13 và Phường 14 </t>
  </si>
  <si>
    <t>Quận 6</t>
  </si>
  <si>
    <t>Bình Tây</t>
  </si>
  <si>
    <t>Phường 2 và Phường 9</t>
  </si>
  <si>
    <t>Bình Tiên</t>
  </si>
  <si>
    <t xml:space="preserve">Phường 1, Phường 7 và Phường 8 </t>
  </si>
  <si>
    <t>Bình Phú</t>
  </si>
  <si>
    <t xml:space="preserve">Phường 10, Phường 11 (thuộc Quận 6); một phần Phường 16 (0,39 km², 13.193 người) (thuộc Quận 8) </t>
  </si>
  <si>
    <t>Phú Lâm</t>
  </si>
  <si>
    <t xml:space="preserve">Phường 12, Phường 13 và Phường 14 </t>
  </si>
  <si>
    <t>Quận 7</t>
  </si>
  <si>
    <t>Tân Thuận</t>
  </si>
  <si>
    <t xml:space="preserve">Bình Thuận, Tân Thuận Đông và Tân Thuận Tây </t>
  </si>
  <si>
    <t>Phú Thuận</t>
  </si>
  <si>
    <t xml:space="preserve">Phú Thuận; một phần Phú Mỹ (1,72 km², 7.904 người) </t>
  </si>
  <si>
    <t>Tân Mỹ</t>
  </si>
  <si>
    <t xml:space="preserve">Tân Phú; một phần Phú Mỹ (2,16 km², 32.762 người) </t>
  </si>
  <si>
    <t>Tân Hưng</t>
  </si>
  <si>
    <t xml:space="preserve">Tân Phong, Tân Hưng, Tân Kiểng và Tân Quy </t>
  </si>
  <si>
    <t>Quận 8</t>
  </si>
  <si>
    <t>Chánh Hưng</t>
  </si>
  <si>
    <t xml:space="preserve">Rạch Ông, Hưng Phú, Phường 4; một phần Phường 5 (0,66 km², 10.943 người) </t>
  </si>
  <si>
    <t>Phú Định</t>
  </si>
  <si>
    <t xml:space="preserve">Xóm Củi, Phường 14, Phường 15; một phần Phường 16 (2,94 km², 51.959 người) </t>
  </si>
  <si>
    <t>Bình Đông</t>
  </si>
  <si>
    <t xml:space="preserve">Phường 6; một phần Phường 7 (5,46 km², 56.105 người); một phần Phường 5 (0,96 km², 47.024 người) (thuộc Quận 8); một phần xã An Phú Tây (1,06 km², 7.513 người) (thuộc huyện Bình Chánh) </t>
  </si>
  <si>
    <t>Quận 10</t>
  </si>
  <si>
    <t>Diên Hồng</t>
  </si>
  <si>
    <t xml:space="preserve">Phường 6, Phường 8; một phần Phường 14 (1,22 km², 32.217 người) </t>
  </si>
  <si>
    <t>Vườn Lài</t>
  </si>
  <si>
    <t xml:space="preserve">Phường 1, Phường 2, Phường 4, Phường 9 và Phường 10 </t>
  </si>
  <si>
    <t>Hòa Hưng</t>
  </si>
  <si>
    <t xml:space="preserve">Phường 12, Phường 13, Phường 15; một phần Phường 14 (0,05 km²) </t>
  </si>
  <si>
    <t>Quận 11</t>
  </si>
  <si>
    <t>Minh Phụng</t>
  </si>
  <si>
    <t xml:space="preserve">Phường 1, Phường 7 và Phường 16 </t>
  </si>
  <si>
    <t>Bình Thới</t>
  </si>
  <si>
    <t xml:space="preserve">Phường 3, Phường 10; một phần Phường 8 (0,33 km², 20.017 người) </t>
  </si>
  <si>
    <t>Hòa Bình</t>
  </si>
  <si>
    <t>Phường 5 và Phường 14</t>
  </si>
  <si>
    <t>Phú Thọ</t>
  </si>
  <si>
    <t xml:space="preserve">Phường 11, Phường 15; một phần Phường 8 (0,13 km², 12.610 người) </t>
  </si>
  <si>
    <t>Quận 12</t>
  </si>
  <si>
    <t>Đông Hưng Thuận</t>
  </si>
  <si>
    <t xml:space="preserve">Tân Thới Nhất, Tân Hưng Thuận và Đông Hưng Thuận </t>
  </si>
  <si>
    <t>Trung Mỹ Tây</t>
  </si>
  <si>
    <t xml:space="preserve">Trung Mỹ Tây, Tân Chánh Hiệp </t>
  </si>
  <si>
    <t>Tân Thới Hiệp</t>
  </si>
  <si>
    <t xml:space="preserve">Hiệp Thành, Tân Thới Hiệp </t>
  </si>
  <si>
    <t>Thới An</t>
  </si>
  <si>
    <t xml:space="preserve">Thới An, Thạnh Xuân </t>
  </si>
  <si>
    <t>An Phú Đông</t>
  </si>
  <si>
    <t xml:space="preserve">An Phú Đông, Thạnh Lộc </t>
  </si>
  <si>
    <t>Quận Bình Tân</t>
  </si>
  <si>
    <t>An Lạc</t>
  </si>
  <si>
    <t xml:space="preserve">An Lạc, An Lạc A và Bình Trị Đông B </t>
  </si>
  <si>
    <t>Tân Tạo</t>
  </si>
  <si>
    <t xml:space="preserve">Một phần Tân Tạo A (12,25 km², 61.527 người); một phần Tân Tạo (2,34 km², 51.292 người) (thuộc quận Bình Tân); một phần xã Tân Kiên (0,11 km², 544 người) (thuộc huyện Bình Chánh) </t>
  </si>
  <si>
    <t>Bình Tân</t>
  </si>
  <si>
    <t xml:space="preserve">Bình Hưng Hòa B; một phần Bình Trị Đông A (1,24 km², 12.926 người); một phần Tân Tạo (2,70 km², 22.335 người) </t>
  </si>
  <si>
    <t>Bình Trị Đông</t>
  </si>
  <si>
    <t xml:space="preserve">Bình Trị Đông; một phần Bình Trị Đông A (3,43 km², 64.465 người); một phần Bình Hưng Hòa A (0,77 km², 18.379 người) </t>
  </si>
  <si>
    <t>Bình Hưng Hòa</t>
  </si>
  <si>
    <t xml:space="preserve">Bình Hưng Hòa; một phần Bình Hưng Hòa A (3,89 km², 95.088 người) (thuộc quận Bình Tân) và một phần Sơn Kỳ (0,03 km²) (thuộc quận Tân Phú) </t>
  </si>
  <si>
    <t>Quận Bình Thạnh</t>
  </si>
  <si>
    <t>Gia Định</t>
  </si>
  <si>
    <t xml:space="preserve">Phường 1, Phường 2, Phường 7 và Phường 17 </t>
  </si>
  <si>
    <t>Bình Thạnh</t>
  </si>
  <si>
    <t xml:space="preserve">Phường 12, Phường 14 và Phường 26 </t>
  </si>
  <si>
    <t>Bình Lợi Trung</t>
  </si>
  <si>
    <t xml:space="preserve">Phường 5, Phường 11 và Phường 13 </t>
  </si>
  <si>
    <t>Thạnh Mỹ Tây</t>
  </si>
  <si>
    <t xml:space="preserve">Phường 19, Phường 22 và Phường 25 </t>
  </si>
  <si>
    <t>Bình Quới</t>
  </si>
  <si>
    <t>Phường 27 và Phường 28</t>
  </si>
  <si>
    <t>Quận Gò Vấp</t>
  </si>
  <si>
    <t>Hạnh Thông</t>
  </si>
  <si>
    <t>Phường 1 và Phường 3</t>
  </si>
  <si>
    <t>An Nhơn</t>
  </si>
  <si>
    <t>Phường 5 và Phường 6</t>
  </si>
  <si>
    <t>Gò Vấp</t>
  </si>
  <si>
    <t>Phường 10 và Phường 17</t>
  </si>
  <si>
    <t>An Hội Đông</t>
  </si>
  <si>
    <t>Phường 15 và Phường 16</t>
  </si>
  <si>
    <t>Thông Tây Hội</t>
  </si>
  <si>
    <t>Phường 8 và Phường 11</t>
  </si>
  <si>
    <t>An Hội Tây</t>
  </si>
  <si>
    <t>Phường 12 và Phường 14</t>
  </si>
  <si>
    <t>Quận Phú Nhuận</t>
  </si>
  <si>
    <t>Đức Nhuận</t>
  </si>
  <si>
    <t xml:space="preserve">Phường 4, Phường 5 và Phường 9 </t>
  </si>
  <si>
    <t>Cầu Kiệu</t>
  </si>
  <si>
    <t xml:space="preserve">Phường 1, Phường 2, Phường 7; một phần Phường 15 (0,23 km², 12.433 người) </t>
  </si>
  <si>
    <t>Phú Nhuận</t>
  </si>
  <si>
    <t xml:space="preserve">Phường 8, Phường 10, Phường 11, Phường 13; một phần Phường 15 (0,15 km², 8.292 người) </t>
  </si>
  <si>
    <t>Quận Tân Bình</t>
  </si>
  <si>
    <t>Tân Sơn Hòa</t>
  </si>
  <si>
    <t xml:space="preserve">Phường 1, Phường 2 và Phường 3 </t>
  </si>
  <si>
    <t>Tân Sơn Nhất</t>
  </si>
  <si>
    <t xml:space="preserve">Phường 4, Phường 5 và Phường 7 </t>
  </si>
  <si>
    <t>Tân Hòa</t>
  </si>
  <si>
    <t xml:space="preserve">Phường 6, Phường 8 và Phường 9 </t>
  </si>
  <si>
    <t>Bảy Hiền</t>
  </si>
  <si>
    <t xml:space="preserve">Phường 10, Phường 11 và Phường 12 </t>
  </si>
  <si>
    <t>Tân Bình</t>
  </si>
  <si>
    <t xml:space="preserve">Phường 13 và Phường 14; một phần Phường 15 (0,01 km², 308 người) </t>
  </si>
  <si>
    <t>Tân Sơn</t>
  </si>
  <si>
    <t xml:space="preserve">Phần còn lại của Phường 15 (10,12 km², 77.229 người) </t>
  </si>
  <si>
    <t>Quận Tân Phú</t>
  </si>
  <si>
    <t>Tây Thạnh</t>
  </si>
  <si>
    <t xml:space="preserve">Tây Thạnh; một phần Sơn Kỳ (0,46 km², 9.498 người) </t>
  </si>
  <si>
    <t>Tân Sơn Nhì</t>
  </si>
  <si>
    <t xml:space="preserve">Tân Sơn Nhì; một phần Sơn Kỳ (1,71 km², 40.718 người); một phần Tân Quý (0,54 km², 29.434 người); một phần Tân Thành (0,08 km², 2.556 người) </t>
  </si>
  <si>
    <t>Phú Thọ Hòa</t>
  </si>
  <si>
    <t xml:space="preserve">Phú Thọ Hòa; một phần Tân Quý (1,15 km², 61.953 người); một phần Tân Thành (0,66 km², 21.971 người) </t>
  </si>
  <si>
    <t>Tân Phú</t>
  </si>
  <si>
    <t xml:space="preserve">Phú Trung, Hòa Thạnh; một phần Tân Thành (0,24 km², 9.334 người); một phần Tân Thới Hòa (0,45 km², 10.224 người) </t>
  </si>
  <si>
    <t>Phú Thạnh</t>
  </si>
  <si>
    <t xml:space="preserve">Phú Thạnh, Hiệp Tân; một phần Tân Thới Hòa (0,70 km², 33.368 người) </t>
  </si>
  <si>
    <t>Thành phố Thủ Đức</t>
  </si>
  <si>
    <t>Hiệp Bình</t>
  </si>
  <si>
    <t xml:space="preserve">Hiệp Bình Chánh, Hiệp Bình Phước; một phần Linh Đông (1,79 km², 31.341 người) </t>
  </si>
  <si>
    <t>Thủ Đức</t>
  </si>
  <si>
    <t xml:space="preserve">Bình Thọ, Linh Chiểu, Trường Thọ; một phần Linh Đông (1,16 km², 10.915 người); một phần Linh Tây (0,01 km²) </t>
  </si>
  <si>
    <t>Tam Bình</t>
  </si>
  <si>
    <t xml:space="preserve">Bình Chiểu, Tam Bình và Tam Phú </t>
  </si>
  <si>
    <t>Linh Xuân</t>
  </si>
  <si>
    <t xml:space="preserve">Linh Trung, Linh Xuân; một phần Linh Tây (1,35 km², 26.384 người) </t>
  </si>
  <si>
    <t>Tăng Nhơn Phú</t>
  </si>
  <si>
    <t xml:space="preserve">Hiệp Phú, Tân Phú, Tăng Nhơn Phú A, Tăng Nhơn Phú B; một phần Long Thạnh Mỹ (0,35 km²) </t>
  </si>
  <si>
    <t>Long Bình</t>
  </si>
  <si>
    <t xml:space="preserve">Long Bình; một phần Long Thạnh Mỹ (11,71 km², 70.139 người) </t>
  </si>
  <si>
    <t>Long Phước</t>
  </si>
  <si>
    <t xml:space="preserve">Long Phước, Trường Thạnh </t>
  </si>
  <si>
    <t>Long Trường</t>
  </si>
  <si>
    <t>Long Trường và Phú Hữu</t>
  </si>
  <si>
    <t>Cát Lái</t>
  </si>
  <si>
    <t>Cát Lái và Thạnh Mỹ Lợi</t>
  </si>
  <si>
    <t>Bình Trưng</t>
  </si>
  <si>
    <t xml:space="preserve">Bình Trưng Đông, Bình Trưng Tây; một phần An Phú (9,44 km², 47.796 người) </t>
  </si>
  <si>
    <t>Phước Long</t>
  </si>
  <si>
    <t xml:space="preserve">Phước Bình, Phước Long A, Phước Long B </t>
  </si>
  <si>
    <t>An Khánh</t>
  </si>
  <si>
    <t xml:space="preserve">An Khánh, An Lợi Đông, Thảo Điền, Thủ Thiêm; một phần An Phú (0,77 km², 5.997 người) </t>
  </si>
  <si>
    <t>Huyện Bình Chánh</t>
  </si>
  <si>
    <t>Vĩnh Lộc</t>
  </si>
  <si>
    <t xml:space="preserve">Vĩnh Lộc A; một phần Phạm Văn Hai (10,89 km², 14.531 người) </t>
  </si>
  <si>
    <t>Tân Vĩnh Lộc</t>
  </si>
  <si>
    <t xml:space="preserve">Vĩnh Lộc B; một phần Phạm Văn Hai (16,57 km², 20.835 người) (thuộc huyện Bình Chánh) và một phần phường Tân Tạo (0,04 km², 8 người) (thuộc quận Bình Tân) </t>
  </si>
  <si>
    <t>Bình Lợi</t>
  </si>
  <si>
    <t>Bình Lợi và Lê Minh Xuân</t>
  </si>
  <si>
    <t>Tân Nhựt</t>
  </si>
  <si>
    <t xml:space="preserve">Tân Nhựt, thị trấn Tân Túc; một phần Tân Kiên (11,38 km², 56.780 người) (thuộc huyện Bình Chánh); một phần phường Tân Tạo A (0,07 km², 126 người) (thuộc quận Bình Tân); một phần Phường 16 (0,23 km², 210 người) (thuộc Quận 8) </t>
  </si>
  <si>
    <t>Bình Chánh</t>
  </si>
  <si>
    <t xml:space="preserve">Bình Chánh, Tân Quý Tây; một phần An Phú Tây (4,81 km², 19.233 người) </t>
  </si>
  <si>
    <t>Hưng Long</t>
  </si>
  <si>
    <t xml:space="preserve">Hưng Long, Qui Đức và Đa Phước </t>
  </si>
  <si>
    <t>Bình Hưng</t>
  </si>
  <si>
    <t xml:space="preserve">Bình Hưng và Phong Phú (thuộc huyện Bình Chánh) và một phần phường 7 (0,23 km², 194 người) (thuộc Quận 8) </t>
  </si>
  <si>
    <t>Huyện Cần Giờ</t>
  </si>
  <si>
    <t>Bình Khánh</t>
  </si>
  <si>
    <t xml:space="preserve">Bình Khánh, Tam Thôn Hiệp; một phần An Thới Đông (4,17 km², 3.356 người) </t>
  </si>
  <si>
    <t>An Thới Đông</t>
  </si>
  <si>
    <t xml:space="preserve">Lý Nhơn; một phần An Thới Đông (99,73 km², 15.035 người) </t>
  </si>
  <si>
    <t>Cần Giờ</t>
  </si>
  <si>
    <t>Long Hòa và thị trấn Cần Thạnh</t>
  </si>
  <si>
    <t>Thạnh An</t>
  </si>
  <si>
    <t>Huyện Củ Chi</t>
  </si>
  <si>
    <t>Củ Chi</t>
  </si>
  <si>
    <t xml:space="preserve">Tân Phú Trung, Tân Thông Hội và Phước Vĩnh An </t>
  </si>
  <si>
    <t>Tân An Hội</t>
  </si>
  <si>
    <t xml:space="preserve">Phước Hiệp, Tân An Hội và thị trấn Củ Chi </t>
  </si>
  <si>
    <t>Thái Mỹ</t>
  </si>
  <si>
    <t xml:space="preserve">Trung Lập Thượng, Thái Mỹ và Phước Thạnh </t>
  </si>
  <si>
    <t>An Nhơn Tây</t>
  </si>
  <si>
    <t xml:space="preserve">Phú Mỹ Hưng, An Phú và An Nhơn Tây </t>
  </si>
  <si>
    <t>Nhuận Đức</t>
  </si>
  <si>
    <t xml:space="preserve">Nhuận Đức, Trung Lập Hạ và Phạm Văn Cội </t>
  </si>
  <si>
    <t>Phú Hòa Đông</t>
  </si>
  <si>
    <t xml:space="preserve">Tân Thạnh Tây, Tân Thạnh Đông và Phú Hòa Đông </t>
  </si>
  <si>
    <t>Bình Mỹ</t>
  </si>
  <si>
    <t xml:space="preserve">Bình Mỹ, Trung An và Hòa Phú </t>
  </si>
  <si>
    <t>Huyện Hóc Môn</t>
  </si>
  <si>
    <t>Đông Thạnh</t>
  </si>
  <si>
    <t xml:space="preserve">Đông Thạnh, Nhị Bình và Thới Tam Thôn </t>
  </si>
  <si>
    <t>Hóc Môn</t>
  </si>
  <si>
    <t xml:space="preserve">Tân Xuân, Tân Hiệp và thị trấn Hóc Môn </t>
  </si>
  <si>
    <t>Xuân Thới Sơn</t>
  </si>
  <si>
    <t xml:space="preserve">Xuân Thới Đông, Xuân Thới Sơn và Tân Thới Nhì </t>
  </si>
  <si>
    <t>Bà Điểm</t>
  </si>
  <si>
    <t xml:space="preserve">Xuân Thới Thượng, Bà Điểm và Trung Chánh </t>
  </si>
  <si>
    <t>Huyện Nhà Bè</t>
  </si>
  <si>
    <t>Nhà Bè</t>
  </si>
  <si>
    <t xml:space="preserve">Thị trấn Nhà Bè, Phú Xuân, Phước Kiển, Phước Lộc </t>
  </si>
  <si>
    <t>Hiệp Phước</t>
  </si>
  <si>
    <t xml:space="preserve">Nhơn Đức, Long Thới và Hiệp Phước </t>
  </si>
  <si>
    <t>TP. Dĩ An</t>
  </si>
  <si>
    <t>Đông Hòa</t>
  </si>
  <si>
    <t xml:space="preserve">Bình An, Bình Thắng, Đông Hòa (thuộc TP Dĩ An, tỉnh Bình Dương cũ) </t>
  </si>
  <si>
    <t>Dĩ An</t>
  </si>
  <si>
    <t xml:space="preserve">Dĩ An, An Bình; một phần Tân Đông Hiệp (7,55 km², 83.449 người) (thuộc TP Dĩ An, tỉnh Bình Dương cũ) </t>
  </si>
  <si>
    <t>Tân Đông Hiệp</t>
  </si>
  <si>
    <t xml:space="preserve">Tân Bình; một phần Tân Đông Hiệp (6,41 km², 33.887 người) (thuộc TP Dĩ An) và một phần Thái Hòa (4,69 km², 18.908 người) (thuộc TP Tân Uyên, tỉnh Bình Dương cũ) </t>
  </si>
  <si>
    <t>TP. Thuận An</t>
  </si>
  <si>
    <t>An Phú</t>
  </si>
  <si>
    <t xml:space="preserve">An Phú và một phần Bình Chuẩn (5,93 km², 54.917 người) (thuộc TP Thuận An, tỉnh Bình Dương cũ) </t>
  </si>
  <si>
    <t>Bình Hòa</t>
  </si>
  <si>
    <t xml:space="preserve">Bình Hòa và một phần Vĩnh Phú (4,38 km², 14.909 người) (thuộc TP Thuận An, tỉnh Bình Dương cũ) </t>
  </si>
  <si>
    <t>Lái Thiêu</t>
  </si>
  <si>
    <t xml:space="preserve">Lái Thiêu, Bình Nhâm và một phần Vĩnh Phú (2,15 km², 17.517 người) (thuộc TP Thuận An, tỉnh Bình Dương cũ) </t>
  </si>
  <si>
    <t>Thuận An</t>
  </si>
  <si>
    <t xml:space="preserve">Hưng Định, An Thạnh và xã An Sơn (thuộc TP Thuận An, tỉnh Bình Dương cũ) </t>
  </si>
  <si>
    <t>Thuận Giao</t>
  </si>
  <si>
    <t xml:space="preserve">Thuận Giao và một phần Bình Chuẩn (5,4 km², 38.474 người) (thuộc TP Thuận An, tỉnh Bình Dương cũ) </t>
  </si>
  <si>
    <t>TP. Thủ Dầu Một</t>
  </si>
  <si>
    <t>Thủ Dầu Một</t>
  </si>
  <si>
    <t xml:space="preserve">Phú Cường, Phú Thọ, Chánh Nghĩa; một phần Hiệp Thành (1,61 km², 9.737 người); một phần Chánh Mỹ (1,96 km², 3.515 người) (thuộc TP Thủ Dầu Một, tỉnh Bình Dương cũ) </t>
  </si>
  <si>
    <t>Phú Lợi</t>
  </si>
  <si>
    <t xml:space="preserve">Phú Lợi, Phú Hòa; một phần Hiệp Thành (4,26 km², 24.261 người) (thuộc TP Thủ Dầu Một, tỉnh Bình Dương cũ) </t>
  </si>
  <si>
    <t>Chánh Hiệp</t>
  </si>
  <si>
    <t xml:space="preserve">Định Hòa, Tương Bình Hiệp; một phần Hiệp An (1,83 km², 7.794 người); một phần Chánh Mỹ (4,93 km², 10.126 người) (thuộc TP Thủ Dầu Một, tỉnh Bình Dương cũ) </t>
  </si>
  <si>
    <t>Bình Dương</t>
  </si>
  <si>
    <t xml:space="preserve">Hòa Phú, Phú Mỹ, Phú Tân (thuộc TP Thủ Dầu Một) và Phú Chánh (thuộc TP Tân Uyên, tỉnh Bình Dương cũ) </t>
  </si>
  <si>
    <t>TP. Bến Cát</t>
  </si>
  <si>
    <t>Hòa Lợi</t>
  </si>
  <si>
    <t xml:space="preserve">Tân Định, Hòa Lợi (thuộc TP Bến Cát, tỉnh Bình Dương cũ) </t>
  </si>
  <si>
    <t>Thới Hòa</t>
  </si>
  <si>
    <t xml:space="preserve">Thời Hòa (thuộc TP Bến Cát, tỉnh Bình Dương cũ) </t>
  </si>
  <si>
    <t>Phú An</t>
  </si>
  <si>
    <t xml:space="preserve">Xã Phú An (thuộc TP Bến Cát) và Tân An; một phần Hiệp An (4,99 km², 10.398 người) (thuộc TP Thủ Dầu Một, tỉnh Bình Dương cũ) </t>
  </si>
  <si>
    <t>Tây Nam</t>
  </si>
  <si>
    <t xml:space="preserve">An Tây (thuộc TP Bến Cát) và một phần Thanh Tuyền (55,37 km², 17.690 người); một phần An Lập (20,41 km², 3.993 người) (thuộc huyện Dầu Tiếng, tỉnh Bình Dương cũ) </t>
  </si>
  <si>
    <t>Long Nguyên</t>
  </si>
  <si>
    <t xml:space="preserve">An Điền; một phần Mỹ Phước (1,37 km², 5.265 người) (thuộc TP Bến Cát) và Long Nguyên (thuộc huyện Bàu Bàng, tỉnh Bình Dương cũ) </t>
  </si>
  <si>
    <t>Bến Cát</t>
  </si>
  <si>
    <t xml:space="preserve">Lai Hưng, Tân Hưng (thuộc huyện Bàu Bàng) và một phần Mỹ Phước (20,13 km², 67.355 người) (thuộc TP Bến Cát, tỉnh Bình Dương cũ) </t>
  </si>
  <si>
    <t>Chánh Phú Hòa</t>
  </si>
  <si>
    <t xml:space="preserve">Chánh Phú Hòa (thuộc TP Bến Cát) và Hưng Hòa (thuộc huyện Bàu Bàng, tỉnh Bình Dương cũ) </t>
  </si>
  <si>
    <t>TP. Tân Uyên</t>
  </si>
  <si>
    <t>Vĩnh Tân</t>
  </si>
  <si>
    <t xml:space="preserve">Thị trấn Tân Bình (thuộc huyện Bắc Tân Uyên) và Vĩnh Tân (thuộc TP Tân Uyên, tỉnh Bình Dương cũ) </t>
  </si>
  <si>
    <t>Bình Cơ</t>
  </si>
  <si>
    <t xml:space="preserve">Xã Bình Mỹ (thuộc huyện Bắc Tân Uyên) và Hội Nghĩa (thuộc TP Tân Uyên, tỉnh Bình Dương cũ) </t>
  </si>
  <si>
    <t>Tân Uyên</t>
  </si>
  <si>
    <t xml:space="preserve">Uyên Hưng, Bạch Đằng (thuộc TP Tân Uyên) và Tân Lập; một phần Tân Mỹ (22,72 km², 6.635 người) (thuộc huyện Bắc Tân Uyên, tỉnh Bình Dương cũ) </t>
  </si>
  <si>
    <t>Tân Hiệp</t>
  </si>
  <si>
    <t xml:space="preserve">Khánh Bình và Tân Hiệp (thuộc TP Tân Uyên, tỉnh Bình Dương cũ) </t>
  </si>
  <si>
    <t>Tân Khánh</t>
  </si>
  <si>
    <t xml:space="preserve">Thạnh Hội, Thạnh Phước, Tân Phước Khánh, Tân Vĩnh Hiệp và một phần Thái Hòa (6,69 km², 25.012 người) (thuộc TP Tân Uyên, tỉnh Bình Dương cũ) </t>
  </si>
  <si>
    <t>TP. Vũng Tàu</t>
  </si>
  <si>
    <t>Vũng Tàu</t>
  </si>
  <si>
    <t xml:space="preserve">Phường 1, Phường 2, Phường 3, Phường 4, Phường 5, Thắng Nhì và Thắng Tam </t>
  </si>
  <si>
    <t>Tam Thắng</t>
  </si>
  <si>
    <t xml:space="preserve">Phường 7, Phường 8, Phường 9 và Nguyễn An Ninh </t>
  </si>
  <si>
    <t>Rạch Dừa</t>
  </si>
  <si>
    <t xml:space="preserve">Phường 10, Thắng Nhất và Rạch Dừa </t>
  </si>
  <si>
    <t>Phước Thắng</t>
  </si>
  <si>
    <t>Phường 11 và Phường 12</t>
  </si>
  <si>
    <t>TP. Bà Rịa</t>
  </si>
  <si>
    <t>Long Hương</t>
  </si>
  <si>
    <t xml:space="preserve">Kim Dinh, Long Hương và xã Tân Hưng </t>
  </si>
  <si>
    <t>Bà Rịa</t>
  </si>
  <si>
    <t xml:space="preserve">Phước Trung, Phước Nguyên, Long Toàn và Phước Hưng </t>
  </si>
  <si>
    <t>Tam Long</t>
  </si>
  <si>
    <t xml:space="preserve">Long Tâm, xã Hòa Long và xã Long Phước </t>
  </si>
  <si>
    <t>Huyện Bắc Tân Uyên</t>
  </si>
  <si>
    <t>Thường Tân</t>
  </si>
  <si>
    <t xml:space="preserve">Thường Tân, Lạc An, Hiếu Liêm; một phần Tân Mỹ (17,78 km², 1.597 người) </t>
  </si>
  <si>
    <t>Bắc Tân Uyên</t>
  </si>
  <si>
    <t xml:space="preserve">Đất Cuốc, Tân Định và thị trấn Tân Thành </t>
  </si>
  <si>
    <t>Huyện Phú Giáo</t>
  </si>
  <si>
    <t>Phú Giáo</t>
  </si>
  <si>
    <t xml:space="preserve">An Bình, thị trấn Phước Vĩnh; một phần Tam Lập (96,74 km², 3.640 người) </t>
  </si>
  <si>
    <t>Phước Hòa</t>
  </si>
  <si>
    <t xml:space="preserve">Vĩnh Hòa, Phước Hòa; một phần Tam Lập (22,97 km², 1.352 người) </t>
  </si>
  <si>
    <t>Phước Thành</t>
  </si>
  <si>
    <t xml:space="preserve">An Thái, Phước Sang, Tân Hiệp </t>
  </si>
  <si>
    <t>An Long</t>
  </si>
  <si>
    <t xml:space="preserve">An Linh, An Long, Tân Long </t>
  </si>
  <si>
    <t>Huyện Bàu Bàng</t>
  </si>
  <si>
    <t>Trừ Văn Thố</t>
  </si>
  <si>
    <t xml:space="preserve">Trừ Văn Thố, Cây Trường II; một phần thị trấn Lai Uyên (4,27 km², 2.217 người) </t>
  </si>
  <si>
    <t>Bàu Bàng</t>
  </si>
  <si>
    <t xml:space="preserve">Phần còn lại của thị trấn Lai Uyên (84,09 km², 42.219 người) </t>
  </si>
  <si>
    <t>Huyện Dầu Tiếng</t>
  </si>
  <si>
    <t>Long Hòa</t>
  </si>
  <si>
    <t xml:space="preserve">Long Tân, Long Hòa; một phần Minh Tân (29,37 km², 1.655 người); một phần Minh Thạnh (15,44 km², 3.977 người) </t>
  </si>
  <si>
    <t>Thanh An</t>
  </si>
  <si>
    <t xml:space="preserve">Thanh An; một phần Định Hiệp (31,59 km², 6.102 người); một phần Thanh Tuyền (6,85 km², 1.393 người); một phần An Lập (39,71 km², 5.071 người) </t>
  </si>
  <si>
    <t>Dầu Tiếng</t>
  </si>
  <si>
    <t xml:space="preserve">Thị trấn Dầu Tiếng, Định An, Định Thành; một phần Định Hiệp (29,86 km², 3.016 người) </t>
  </si>
  <si>
    <t>Minh Thạnh</t>
  </si>
  <si>
    <t xml:space="preserve">Minh Hòa; một phần Minh Tân (15,61 km², 7.156 người); một phần Minh Thạnh (48,18 km², 7.052 người) </t>
  </si>
  <si>
    <t>Long Sơn</t>
  </si>
  <si>
    <t>TP. Phú Mỹ</t>
  </si>
  <si>
    <t>Châu Pha</t>
  </si>
  <si>
    <t>Tóc Tiên và Châu Pha</t>
  </si>
  <si>
    <t>Huyện Long Đất</t>
  </si>
  <si>
    <t>Long Hải</t>
  </si>
  <si>
    <t xml:space="preserve">Thị trấn Long Hải, Phước Tỉnh và Phước Hưng </t>
  </si>
  <si>
    <t>Long Điền</t>
  </si>
  <si>
    <t>Thị trấn Long Điền và xã Tam An</t>
  </si>
  <si>
    <t>Phước Hải</t>
  </si>
  <si>
    <t>Thị trấn Phước Hải và xã Phước Hội</t>
  </si>
  <si>
    <t>Đất Đỏ</t>
  </si>
  <si>
    <t xml:space="preserve">Thị trấn Đất Đỏ, xã Láng Dài, xã Long Tân và xã Phước Long Thọ </t>
  </si>
  <si>
    <t>Huyện Châu Đức</t>
  </si>
  <si>
    <t>Nghĩa Thành</t>
  </si>
  <si>
    <t xml:space="preserve">Đá Bạc, Nghĩa Thành </t>
  </si>
  <si>
    <t>Ngãi Giao</t>
  </si>
  <si>
    <t xml:space="preserve">Thị trấn Ngãi Giao, Bình Ba và Suối Nghệ </t>
  </si>
  <si>
    <t>Kim Long</t>
  </si>
  <si>
    <t xml:space="preserve">Thị trấn Kim Long, Bàu Chinh, Láng Lớn </t>
  </si>
  <si>
    <t>Châu Đức</t>
  </si>
  <si>
    <t xml:space="preserve">Cù Bị, Xà Bang </t>
  </si>
  <si>
    <t>Bình Giã</t>
  </si>
  <si>
    <t xml:space="preserve">Bình Trung, Bình Giã và Quảng Thành </t>
  </si>
  <si>
    <t>Xuân Sơn</t>
  </si>
  <si>
    <t xml:space="preserve">Suối Rao, Xuân Sơn và Sơn Bình </t>
  </si>
  <si>
    <t>Huyện Xuyên Mộc</t>
  </si>
  <si>
    <t>Hồ Tràm</t>
  </si>
  <si>
    <t xml:space="preserve">Thị trấn Phước Bửu, Phước Tân và Phước Thuận </t>
  </si>
  <si>
    <t>Xuyên Mộc</t>
  </si>
  <si>
    <t xml:space="preserve">Bông Trang, Xuyên Mộc và Bưng Riềng </t>
  </si>
  <si>
    <t>Bình Châu</t>
  </si>
  <si>
    <t>Hòa Hội</t>
  </si>
  <si>
    <t xml:space="preserve">Hòa Hội, Hòa Hưng và Hòa Bình </t>
  </si>
  <si>
    <t>Hòa Hiệp</t>
  </si>
  <si>
    <t>Bàu Lâm</t>
  </si>
  <si>
    <t>Tân Lâm và Bàu Lâm</t>
  </si>
  <si>
    <t>Huyện Côn Đảo</t>
  </si>
  <si>
    <t>Côn Đảo</t>
  </si>
  <si>
    <t>Huyện đảo Côn Đảo</t>
  </si>
  <si>
    <t>Tân Hải</t>
  </si>
  <si>
    <t>Tân Hòa và Tân Hải</t>
  </si>
  <si>
    <t>Tân Phước</t>
  </si>
  <si>
    <t>Tân Phước và Phước Hòa</t>
  </si>
  <si>
    <t>Phú Mỹ</t>
  </si>
  <si>
    <t>Mỹ Xuân và Phú Mỹ</t>
  </si>
  <si>
    <t>Tân Thành</t>
  </si>
  <si>
    <t>Hắc Dịch và xã Sông Xoài</t>
  </si>
  <si>
    <t>TỔNG CỘNG</t>
  </si>
  <si>
    <t>Quy mô dân số
(người)</t>
  </si>
  <si>
    <t>CỤM 1</t>
  </si>
  <si>
    <t>CỤM 2</t>
  </si>
  <si>
    <t>CỤM 3</t>
  </si>
  <si>
    <t>CỤM 4</t>
  </si>
  <si>
    <t>CỤM 5</t>
  </si>
  <si>
    <t>CỤM 7</t>
  </si>
  <si>
    <t>CỤM 8</t>
  </si>
  <si>
    <t>CỤM 9</t>
  </si>
  <si>
    <t>CỤM 10</t>
  </si>
  <si>
    <t>CỤM 11</t>
  </si>
  <si>
    <t>CỤM 12</t>
  </si>
  <si>
    <t>CỤM 13</t>
  </si>
  <si>
    <t>CỤM 14</t>
  </si>
  <si>
    <t>CỤM 15</t>
  </si>
  <si>
    <t>CỤM 16</t>
  </si>
  <si>
    <t>CỤM 6</t>
  </si>
  <si>
    <t>Mầm non công lập</t>
  </si>
  <si>
    <t>Tiểu học công lập</t>
  </si>
  <si>
    <t>THCS công lập</t>
  </si>
  <si>
    <t>Mầm non dân lập, tư thục</t>
  </si>
  <si>
    <t>Tiểu học tư thục</t>
  </si>
  <si>
    <t>THCS tư thục</t>
  </si>
  <si>
    <t>Số trường</t>
  </si>
  <si>
    <t>Học sinh</t>
  </si>
  <si>
    <t>Phòng học</t>
  </si>
  <si>
    <t>Số nhóm trẻ, lớp MGĐL, MNĐL</t>
  </si>
  <si>
    <t>PHỤ LỤC: PHÂN CHIA CỤM QUẢN LÝ GIÁO DỤC TỪ MẦM NON ĐẾN TRUNG HỌC CƠ SỞ CỦA 168 PHƯỜNG/XÃ/ĐẶC KHU TẠI THÀNH PHỐ HỒ CHÍ MINH</t>
  </si>
  <si>
    <t>PX</t>
  </si>
  <si>
    <t>Khu vực Côn Đảo</t>
  </si>
  <si>
    <t>Đặc khu Côn Đảo</t>
  </si>
  <si>
    <t>Khu vực Chợ Lớn</t>
  </si>
  <si>
    <t>Phường An Đông</t>
  </si>
  <si>
    <t>Khu vực Gò Vấp</t>
  </si>
  <si>
    <t>Phường An Hội Đông</t>
  </si>
  <si>
    <t>Phường An Hội Tây</t>
  </si>
  <si>
    <t>Khu vực Thủ Đức</t>
  </si>
  <si>
    <t>Phường An Khánh</t>
  </si>
  <si>
    <t>Khu vực Bình Tân</t>
  </si>
  <si>
    <t>Phường An Lạc</t>
  </si>
  <si>
    <t>Phường An Nhơn</t>
  </si>
  <si>
    <t>Khu vực Thuận An</t>
  </si>
  <si>
    <t>Phường An Phú</t>
  </si>
  <si>
    <t>Khu vực Tân Thới Hiệp</t>
  </si>
  <si>
    <t>Phường An Phú Đông</t>
  </si>
  <si>
    <t>Khu vực Bà Rịa</t>
  </si>
  <si>
    <t>Phường Bà Rịa</t>
  </si>
  <si>
    <t>Khu vực Nhiêu Lộc</t>
  </si>
  <si>
    <t>Phường Bàn Cờ</t>
  </si>
  <si>
    <t>Khu vực Tân Bình</t>
  </si>
  <si>
    <t>Phường Bảy Hiền</t>
  </si>
  <si>
    <t>Khu vực Bến Cát</t>
  </si>
  <si>
    <t>Phường Bến Cát</t>
  </si>
  <si>
    <t>Khu vực Sài Gòn</t>
  </si>
  <si>
    <t>Phường Bến Thành</t>
  </si>
  <si>
    <t>Khu vực Tân Uyên</t>
  </si>
  <si>
    <t>Phường Bình Cơ</t>
  </si>
  <si>
    <t>Khu vực Thủ Dầu Một</t>
  </si>
  <si>
    <t>Phường Bình Dương</t>
  </si>
  <si>
    <t>Khu vực Bình Đông</t>
  </si>
  <si>
    <t>Phường Bình Đông</t>
  </si>
  <si>
    <t>Phường Bình Hòa</t>
  </si>
  <si>
    <t>Phường Bình Hưng Hòa</t>
  </si>
  <si>
    <t>Khu vực Bình Thạnh</t>
  </si>
  <si>
    <t>Phường Bình Lợi Trung</t>
  </si>
  <si>
    <t>Khu vực Phú Lâm</t>
  </si>
  <si>
    <t>Phường Bình Phú</t>
  </si>
  <si>
    <t>Phường Bình Quới</t>
  </si>
  <si>
    <t>Phường Bình Tân</t>
  </si>
  <si>
    <t>Phường Bình Tây</t>
  </si>
  <si>
    <t>Phường Bình Tiên</t>
  </si>
  <si>
    <t>Phường Bình Thạnh</t>
  </si>
  <si>
    <t>Khu vực Bình Thới</t>
  </si>
  <si>
    <t>Phường Bình Thới</t>
  </si>
  <si>
    <t>Phường Bình Trị Đông</t>
  </si>
  <si>
    <t>Phường Bình Trưng</t>
  </si>
  <si>
    <t>Phường Cát Lái</t>
  </si>
  <si>
    <t>Khu vực Phú Nhuận</t>
  </si>
  <si>
    <t>Phường Cầu Kiệu</t>
  </si>
  <si>
    <t>Phường Cầu Ông Lãnh</t>
  </si>
  <si>
    <t>Phường Chánh Hiệp</t>
  </si>
  <si>
    <t>Phường Chánh Hưng</t>
  </si>
  <si>
    <t>Phường Chánh Phú Hòa</t>
  </si>
  <si>
    <t>Phường Chợ Lớn</t>
  </si>
  <si>
    <t>Phường Chợ Quán</t>
  </si>
  <si>
    <t>Khu vực Dĩ An</t>
  </si>
  <si>
    <t>Phường Dĩ An</t>
  </si>
  <si>
    <t>Khu vực Hòa Hưng</t>
  </si>
  <si>
    <t>Phường Diên Hồng</t>
  </si>
  <si>
    <t>Phường Đông Hòa</t>
  </si>
  <si>
    <t>Phường Đông Hưng Thuận</t>
  </si>
  <si>
    <t>Phường Đức Nhuận</t>
  </si>
  <si>
    <t>Phường Gò Vấp</t>
  </si>
  <si>
    <t>Phường Gia Định</t>
  </si>
  <si>
    <t>Phường Hạnh Thông</t>
  </si>
  <si>
    <t>Phường Hiệp Bình</t>
  </si>
  <si>
    <t>Phường Hòa Bình</t>
  </si>
  <si>
    <t>Phường Hòa Hưng</t>
  </si>
  <si>
    <t>Phường Hòa Lợi</t>
  </si>
  <si>
    <t>Khu vực Xóm Chiếu</t>
  </si>
  <si>
    <t>Phường Khánh Hội</t>
  </si>
  <si>
    <t>Phường Lái Thiêu</t>
  </si>
  <si>
    <t>Phường Linh Xuân</t>
  </si>
  <si>
    <t>Phường Long Bình</t>
  </si>
  <si>
    <t>Phường Long Hương</t>
  </si>
  <si>
    <t>Phường Long Nguyên</t>
  </si>
  <si>
    <t>Phường Long Phước</t>
  </si>
  <si>
    <t>Phường Long Trường</t>
  </si>
  <si>
    <t>Phường Minh Phụng</t>
  </si>
  <si>
    <t>Phường Nhiêu Lộc</t>
  </si>
  <si>
    <t>Phường Phú An</t>
  </si>
  <si>
    <t>Phường Phú Định</t>
  </si>
  <si>
    <t>Phường Phú Lâm</t>
  </si>
  <si>
    <t>Phường Phú Lợi</t>
  </si>
  <si>
    <t>Khu vực Phú Mỹ</t>
  </si>
  <si>
    <t>Phường Phú Mỹ</t>
  </si>
  <si>
    <t>Phường Phú Nhuận</t>
  </si>
  <si>
    <t>Khu vực Tân Phú</t>
  </si>
  <si>
    <t>Phường Phú Thạnh</t>
  </si>
  <si>
    <t>Phường Phú Thọ</t>
  </si>
  <si>
    <t>Phường Phú Thọ Hòa</t>
  </si>
  <si>
    <t>Khu vực Tân Hưng</t>
  </si>
  <si>
    <t>Phường Phước Long</t>
  </si>
  <si>
    <t>Khu vực Vũng Tàu</t>
  </si>
  <si>
    <t xml:space="preserve">Phường Phước Thắng </t>
  </si>
  <si>
    <t>Phường Rạch Dừa</t>
  </si>
  <si>
    <t>Phường Sài Gòn</t>
  </si>
  <si>
    <t>Phường Tam Bình</t>
  </si>
  <si>
    <t>Phường Tam Long</t>
  </si>
  <si>
    <t xml:space="preserve">Phường Tam Thắng </t>
  </si>
  <si>
    <t>Phường Tăng Nhơn Phú</t>
  </si>
  <si>
    <t>Phường Tân Bình</t>
  </si>
  <si>
    <t>Phường Tân Định</t>
  </si>
  <si>
    <t>Phường Tân Đông Hiệp</t>
  </si>
  <si>
    <t>Phường Tân Hải</t>
  </si>
  <si>
    <t>Phường Tân Hiệp</t>
  </si>
  <si>
    <t>Phường Tân Hòa</t>
  </si>
  <si>
    <t>Phường Tân Hưng</t>
  </si>
  <si>
    <t>Phường Tân Khánh</t>
  </si>
  <si>
    <t>Phường Tân Mỹ</t>
  </si>
  <si>
    <t>Phường Tân Phú</t>
  </si>
  <si>
    <t>Phường Tân Phước</t>
  </si>
  <si>
    <t>Phường Tân Sơn</t>
  </si>
  <si>
    <t>Phường Tân Sơn Hòa</t>
  </si>
  <si>
    <t>Phường Tân Sơn Nhất</t>
  </si>
  <si>
    <t>Phường Tân Sơn Nhì</t>
  </si>
  <si>
    <t>Phường Tân Tạo</t>
  </si>
  <si>
    <t>Phường Tân Thành</t>
  </si>
  <si>
    <t>Phường Tân Thới Hiệp</t>
  </si>
  <si>
    <t>Phường Tân Thuận</t>
  </si>
  <si>
    <t>Phường Tân Uyên</t>
  </si>
  <si>
    <t>Phường Tây Nam</t>
  </si>
  <si>
    <t>Phường Tây Thạnh</t>
  </si>
  <si>
    <t>Phường Thạnh Mỹ Tây</t>
  </si>
  <si>
    <t>Phường Thông Tây Hội</t>
  </si>
  <si>
    <t>Phường Thới An</t>
  </si>
  <si>
    <t>Phường Thới Hòa</t>
  </si>
  <si>
    <t>Phường Thủ Dầu Một</t>
  </si>
  <si>
    <t>Phường Thủ Đức</t>
  </si>
  <si>
    <t>Phường Thuận An</t>
  </si>
  <si>
    <t>Phường Thuận Giao</t>
  </si>
  <si>
    <t>Phường Trung Mỹ Tây</t>
  </si>
  <si>
    <t>Phường Vĩnh Hội</t>
  </si>
  <si>
    <t>Phường Vĩnh Tân</t>
  </si>
  <si>
    <t>Phường Vũng Tàu</t>
  </si>
  <si>
    <t>Phường Vườn Lài</t>
  </si>
  <si>
    <t>Phường Xóm Chiếu</t>
  </si>
  <si>
    <t>Phường Xuân Hòa</t>
  </si>
  <si>
    <t>Khu vực Phú Giáo</t>
  </si>
  <si>
    <t>Xã An Long</t>
  </si>
  <si>
    <t>Khu vực Củ Chi</t>
  </si>
  <si>
    <t>Xã An Nhơn Tây</t>
  </si>
  <si>
    <t>Khu vực Cần Giờ</t>
  </si>
  <si>
    <t>Xã An Thới Đông</t>
  </si>
  <si>
    <t>Khu vực Hóc Môn</t>
  </si>
  <si>
    <t>Xã Bà Điểm</t>
  </si>
  <si>
    <t>Khu vực Bàu Bàng</t>
  </si>
  <si>
    <t>Xã Bàu Bàng</t>
  </si>
  <si>
    <t>Khu vực Hồ Tràm</t>
  </si>
  <si>
    <t>Xã Bàu Lâm</t>
  </si>
  <si>
    <t>Khu vực Bắc Tân Uyên</t>
  </si>
  <si>
    <t>Xã Bắc Tân Uyên</t>
  </si>
  <si>
    <t>Khu vực Bình Chánh</t>
  </si>
  <si>
    <t>Xã Bình Chánh</t>
  </si>
  <si>
    <t>Xã Bình Châu</t>
  </si>
  <si>
    <t>Khu vực Châu Đức</t>
  </si>
  <si>
    <t>Xã Bình Giã</t>
  </si>
  <si>
    <t>Xã Bình Hưng</t>
  </si>
  <si>
    <t>Xã Bình Khánh</t>
  </si>
  <si>
    <t>Xã Bình Lợi</t>
  </si>
  <si>
    <t>Xã Bình Mỹ</t>
  </si>
  <si>
    <t>Xã Cần Giờ</t>
  </si>
  <si>
    <t>Xã Củ Chi</t>
  </si>
  <si>
    <t>Xã Châu Đức</t>
  </si>
  <si>
    <t>Xã Châu Pha</t>
  </si>
  <si>
    <t>Khu vực Dầu Tiếng</t>
  </si>
  <si>
    <t>Xã Dầu Tiếng</t>
  </si>
  <si>
    <t>Khu vực Long Đất</t>
  </si>
  <si>
    <t>Xã Đất Đỏ</t>
  </si>
  <si>
    <t>Xã Đông Thạnh</t>
  </si>
  <si>
    <t>Khu vực Nhà Bè</t>
  </si>
  <si>
    <t>Xã Hiệp Phước</t>
  </si>
  <si>
    <t>Xã Hòa Hiệp</t>
  </si>
  <si>
    <t>Xã Hòa Hội</t>
  </si>
  <si>
    <t>Xã Hóc Môn</t>
  </si>
  <si>
    <t>Xã Hồ Tràm</t>
  </si>
  <si>
    <t>Xã Hưng Long</t>
  </si>
  <si>
    <t>Xã Kim Long</t>
  </si>
  <si>
    <t>Xã Long Điền</t>
  </si>
  <si>
    <t>Xã Long Hải</t>
  </si>
  <si>
    <t>Xã Long Hòa</t>
  </si>
  <si>
    <t>Xã Long Sơn</t>
  </si>
  <si>
    <t>Xã Minh Thạnh</t>
  </si>
  <si>
    <t>Xã Ngãi Giao</t>
  </si>
  <si>
    <t>Xã Nghĩa Thành</t>
  </si>
  <si>
    <t>Xã Nhà Bè</t>
  </si>
  <si>
    <t>Xã Nhuận Đức</t>
  </si>
  <si>
    <t>Xã Phú Giáo</t>
  </si>
  <si>
    <t>Xã Phú Hòa Đông</t>
  </si>
  <si>
    <t>Xã Phước Hải</t>
  </si>
  <si>
    <t>Xã Phước Hòa</t>
  </si>
  <si>
    <t>Xã Phước Thành</t>
  </si>
  <si>
    <t>Xã Tân An Hội</t>
  </si>
  <si>
    <t>Xã Tân Nhựt</t>
  </si>
  <si>
    <t>Xã Tân Vĩnh Lộc</t>
  </si>
  <si>
    <t>Xã Thái Mỹ</t>
  </si>
  <si>
    <t>Xã Thanh An</t>
  </si>
  <si>
    <t>Xã Thạnh An</t>
  </si>
  <si>
    <t>Xã Thường Tân</t>
  </si>
  <si>
    <t>Xã Trừ Văn Thố</t>
  </si>
  <si>
    <t>Xã Vĩnh Lộc</t>
  </si>
  <si>
    <t>Xã Xuân Sơn</t>
  </si>
  <si>
    <t>Xã Xuân Thới Sơn</t>
  </si>
  <si>
    <t>Xã Xuyên Mộc</t>
  </si>
  <si>
    <t xml:space="preserve">Phường Phú Thuận
</t>
  </si>
  <si>
    <t>khu vực</t>
  </si>
  <si>
    <t>Quận cũ</t>
  </si>
  <si>
    <t>KV3</t>
  </si>
  <si>
    <t>KV1</t>
  </si>
  <si>
    <t>KV2</t>
  </si>
  <si>
    <t>area</t>
  </si>
  <si>
    <t>ward_id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</si>
</sst>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12" x14ac:knownFonts="1">
    <font>
      <sz val="10"/>
      <color rgb="FF000000"/>
      <name val="Arial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5"/>
      <color rgb="FF000000"/>
      <name val="Times New Roman"/>
      <family val="1"/>
    </font>
    <font>
      <b/>
      <sz val="13"/>
      <color rgb="FF000000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3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2D69B"/>
        <bgColor rgb="FFC2D69B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right"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right" vertical="center" wrapText="1"/>
    </xf>
    <xf numFmtId="165" fontId="2" fillId="0" borderId="1" xfId="1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wrapText="1"/>
    </xf>
    <xf numFmtId="0" fontId="8" fillId="0" borderId="1" xfId="0" applyFont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 wrapText="1"/>
    </xf>
    <xf numFmtId="165" fontId="2" fillId="0" borderId="1" xfId="1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10" fillId="4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4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1" fillId="5" borderId="1" xfId="0" applyNumberFormat="1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microsoft.com/office/2017/10/relationships/person" Target="persons/perso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han%20mem\oanh\ke%20toan\bao%20cao\phong%20TCKH%20so%20GD\Bao%20cao%20-%20CHE%20DO\so%20lieu%20hoc%20sinh%20phuong%20sau%20sat%20nhap\PGD%20Binh%20Thanh-%20so%20lieu%20HS%20phuong%20sau%20sat%20nha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5\m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5\tihThong_ke_mang_luoi_lop_HS_GV_TH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5\Thong_ke_mang_luoi_lop_HS_GV_M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xz"/>
      <sheetName val="BQT"/>
      <sheetName val="Binh Lợi Trung - 5-11-13"/>
      <sheetName val="TMT 19-22-25"/>
      <sheetName val="Gia Dinh 1-2-7-17"/>
      <sheetName val="Binh Thanh 12-14-16"/>
    </sheetNames>
    <sheetDataSet>
      <sheetData sheetId="0" refreshError="1"/>
      <sheetData sheetId="1" refreshError="1">
        <row r="6">
          <cell r="G6">
            <v>2</v>
          </cell>
          <cell r="K6">
            <v>597</v>
          </cell>
          <cell r="V6">
            <v>23</v>
          </cell>
        </row>
        <row r="13">
          <cell r="A13">
            <v>3</v>
          </cell>
        </row>
        <row r="14">
          <cell r="H14">
            <v>4</v>
          </cell>
          <cell r="K14">
            <v>530</v>
          </cell>
          <cell r="V14">
            <v>31</v>
          </cell>
        </row>
        <row r="21">
          <cell r="G21">
            <v>2</v>
          </cell>
          <cell r="J21">
            <v>2348</v>
          </cell>
          <cell r="Z21">
            <v>69</v>
          </cell>
        </row>
        <row r="29">
          <cell r="G29">
            <v>3</v>
          </cell>
          <cell r="J29">
            <v>2334</v>
          </cell>
          <cell r="X29">
            <v>66</v>
          </cell>
        </row>
      </sheetData>
      <sheetData sheetId="2" refreshError="1">
        <row r="9">
          <cell r="H9">
            <v>5</v>
          </cell>
          <cell r="K9">
            <v>1430</v>
          </cell>
          <cell r="V9">
            <v>68</v>
          </cell>
        </row>
        <row r="25">
          <cell r="A25">
            <v>7</v>
          </cell>
        </row>
        <row r="26">
          <cell r="H26">
            <v>9</v>
          </cell>
          <cell r="K26">
            <v>1771</v>
          </cell>
          <cell r="V26">
            <v>102</v>
          </cell>
        </row>
        <row r="35">
          <cell r="G35">
            <v>4</v>
          </cell>
          <cell r="J35">
            <v>2789</v>
          </cell>
          <cell r="Z35">
            <v>83</v>
          </cell>
        </row>
        <row r="43">
          <cell r="G43">
            <v>3</v>
          </cell>
          <cell r="J43">
            <v>3445</v>
          </cell>
          <cell r="X43">
            <v>93</v>
          </cell>
        </row>
      </sheetData>
      <sheetData sheetId="3" refreshError="1">
        <row r="10">
          <cell r="H10">
            <v>6</v>
          </cell>
          <cell r="K10">
            <v>1117</v>
          </cell>
          <cell r="V10">
            <v>58</v>
          </cell>
        </row>
        <row r="17">
          <cell r="A17">
            <v>7</v>
          </cell>
        </row>
        <row r="32">
          <cell r="A32">
            <v>15</v>
          </cell>
        </row>
        <row r="33">
          <cell r="K33">
            <v>2219</v>
          </cell>
          <cell r="V33">
            <v>141</v>
          </cell>
        </row>
        <row r="43">
          <cell r="G43">
            <v>5</v>
          </cell>
          <cell r="J43">
            <v>4917</v>
          </cell>
          <cell r="Z43">
            <v>138</v>
          </cell>
        </row>
        <row r="46">
          <cell r="A46">
            <v>3</v>
          </cell>
        </row>
        <row r="47">
          <cell r="J47">
            <v>5545</v>
          </cell>
          <cell r="Z47">
            <v>211</v>
          </cell>
        </row>
        <row r="55">
          <cell r="G55">
            <v>3</v>
          </cell>
          <cell r="J55">
            <v>3839</v>
          </cell>
          <cell r="X55">
            <v>91</v>
          </cell>
        </row>
        <row r="58">
          <cell r="A58">
            <v>3</v>
          </cell>
        </row>
        <row r="59">
          <cell r="J59">
            <v>3920</v>
          </cell>
          <cell r="X59">
            <v>149</v>
          </cell>
        </row>
      </sheetData>
      <sheetData sheetId="4" refreshError="1">
        <row r="12">
          <cell r="H12">
            <v>8</v>
          </cell>
          <cell r="K12">
            <v>1745</v>
          </cell>
          <cell r="V12">
            <v>90</v>
          </cell>
        </row>
        <row r="28">
          <cell r="H28">
            <v>7</v>
          </cell>
          <cell r="K28">
            <v>1012</v>
          </cell>
          <cell r="V28">
            <v>73</v>
          </cell>
        </row>
        <row r="39">
          <cell r="G39">
            <v>6</v>
          </cell>
          <cell r="J39">
            <v>6176</v>
          </cell>
          <cell r="Z39">
            <v>178</v>
          </cell>
        </row>
        <row r="41">
          <cell r="J41">
            <v>92</v>
          </cell>
        </row>
        <row r="50">
          <cell r="G50">
            <v>4</v>
          </cell>
          <cell r="J50">
            <v>6917</v>
          </cell>
          <cell r="X50">
            <v>158</v>
          </cell>
        </row>
      </sheetData>
      <sheetData sheetId="5" refreshError="1">
        <row r="9">
          <cell r="H9">
            <v>5</v>
          </cell>
          <cell r="K9">
            <v>1682</v>
          </cell>
          <cell r="V9">
            <v>67</v>
          </cell>
        </row>
        <row r="36">
          <cell r="K36">
            <v>1483</v>
          </cell>
          <cell r="V36">
            <v>119</v>
          </cell>
        </row>
        <row r="47">
          <cell r="G47">
            <v>6</v>
          </cell>
          <cell r="J47">
            <v>7526</v>
          </cell>
          <cell r="Z47">
            <v>193</v>
          </cell>
        </row>
        <row r="56">
          <cell r="G56">
            <v>2</v>
          </cell>
          <cell r="J56">
            <v>3630</v>
          </cell>
          <cell r="X56">
            <v>87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1">
          <cell r="C11">
            <v>5</v>
          </cell>
          <cell r="F11">
            <v>1578</v>
          </cell>
        </row>
        <row r="17">
          <cell r="C17">
            <v>7</v>
          </cell>
          <cell r="F17">
            <v>1441</v>
          </cell>
        </row>
        <row r="25">
          <cell r="C25">
            <v>7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12">
          <cell r="C12">
            <v>6</v>
          </cell>
          <cell r="F12">
            <v>2822</v>
          </cell>
          <cell r="AA12">
            <v>108</v>
          </cell>
        </row>
        <row r="19">
          <cell r="C19">
            <v>5</v>
          </cell>
          <cell r="F19">
            <v>3708</v>
          </cell>
          <cell r="AA19">
            <v>117</v>
          </cell>
        </row>
        <row r="25">
          <cell r="C25">
            <v>5</v>
          </cell>
          <cell r="F25">
            <v>3666</v>
          </cell>
          <cell r="AA25">
            <v>123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11">
          <cell r="C11">
            <v>7</v>
          </cell>
          <cell r="F11">
            <v>1014</v>
          </cell>
          <cell r="Y11">
            <v>61</v>
          </cell>
          <cell r="Z11">
            <v>61</v>
          </cell>
        </row>
        <row r="20">
          <cell r="D20">
            <v>1</v>
          </cell>
        </row>
        <row r="36">
          <cell r="C36">
            <v>2</v>
          </cell>
          <cell r="F36">
            <v>262</v>
          </cell>
          <cell r="Z36">
            <v>17</v>
          </cell>
        </row>
      </sheetData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20"/>
  <sheetViews>
    <sheetView topLeftCell="A134" zoomScale="55" zoomScaleNormal="55" workbookViewId="0">
      <selection activeCell="C173" activeCellId="1" sqref="C159:C171 C173:C189"/>
    </sheetView>
  </sheetViews>
  <sheetFormatPr defaultColWidth="12.5546875" defaultRowHeight="15.75" customHeight="1" x14ac:dyDescent="0.25"/>
  <cols>
    <col min="1" max="1" width="6.44140625" style="16" customWidth="1"/>
    <col min="2" max="2" width="17.88671875" style="1" customWidth="1"/>
    <col min="3" max="3" width="16.5546875" style="1" customWidth="1"/>
    <col min="4" max="4" width="14.33203125" style="1" customWidth="1"/>
    <col min="5" max="5" width="17.109375" style="9" customWidth="1"/>
    <col min="6" max="6" width="44.6640625" style="1" customWidth="1"/>
    <col min="7" max="7" width="12.5546875" style="27"/>
    <col min="8" max="8" width="14.109375" style="27" bestFit="1" customWidth="1"/>
    <col min="9" max="9" width="12.5546875" style="27"/>
    <col min="10" max="10" width="12.5546875" style="1"/>
    <col min="11" max="11" width="13.6640625" style="1" bestFit="1" customWidth="1"/>
    <col min="12" max="12" width="12.5546875" style="1"/>
    <col min="13" max="13" width="12.5546875" style="27"/>
    <col min="14" max="14" width="13.6640625" style="27" bestFit="1" customWidth="1"/>
    <col min="15" max="15" width="12.5546875" style="27"/>
    <col min="16" max="16" width="12.5546875" style="1"/>
    <col min="17" max="17" width="12.5546875" style="27"/>
    <col min="18" max="18" width="14.109375" style="1" bestFit="1" customWidth="1"/>
    <col min="19" max="19" width="12.5546875" style="27"/>
    <col min="20" max="16384" width="12.5546875" style="1"/>
  </cols>
  <sheetData>
    <row r="1" spans="1:25" ht="31.5" customHeight="1" x14ac:dyDescent="0.25">
      <c r="A1" s="45" t="s">
        <v>403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</row>
    <row r="3" spans="1:25" ht="41.25" customHeight="1" x14ac:dyDescent="0.25">
      <c r="A3" s="48" t="s">
        <v>0</v>
      </c>
      <c r="B3" s="48" t="s">
        <v>1</v>
      </c>
      <c r="C3" s="48" t="s">
        <v>2</v>
      </c>
      <c r="D3" s="48" t="s">
        <v>3</v>
      </c>
      <c r="E3" s="50" t="s">
        <v>376</v>
      </c>
      <c r="F3" s="46" t="s">
        <v>4</v>
      </c>
      <c r="G3" s="42" t="s">
        <v>393</v>
      </c>
      <c r="H3" s="43"/>
      <c r="I3" s="44"/>
      <c r="J3" s="42" t="s">
        <v>394</v>
      </c>
      <c r="K3" s="43"/>
      <c r="L3" s="44"/>
      <c r="M3" s="42" t="s">
        <v>395</v>
      </c>
      <c r="N3" s="43"/>
      <c r="O3" s="44"/>
      <c r="P3" s="42" t="s">
        <v>396</v>
      </c>
      <c r="Q3" s="43"/>
      <c r="R3" s="43"/>
      <c r="S3" s="44"/>
      <c r="T3" s="42" t="s">
        <v>397</v>
      </c>
      <c r="U3" s="43"/>
      <c r="V3" s="44"/>
      <c r="W3" s="42" t="s">
        <v>398</v>
      </c>
      <c r="X3" s="43"/>
      <c r="Y3" s="44"/>
    </row>
    <row r="4" spans="1:25" ht="97.5" customHeight="1" x14ac:dyDescent="0.25">
      <c r="A4" s="49"/>
      <c r="B4" s="49"/>
      <c r="C4" s="49"/>
      <c r="D4" s="49"/>
      <c r="E4" s="51"/>
      <c r="F4" s="47"/>
      <c r="G4" s="17" t="s">
        <v>399</v>
      </c>
      <c r="H4" s="17" t="s">
        <v>400</v>
      </c>
      <c r="I4" s="17" t="s">
        <v>401</v>
      </c>
      <c r="J4" s="17" t="s">
        <v>399</v>
      </c>
      <c r="K4" s="17" t="s">
        <v>400</v>
      </c>
      <c r="L4" s="17" t="s">
        <v>401</v>
      </c>
      <c r="M4" s="17" t="s">
        <v>399</v>
      </c>
      <c r="N4" s="17" t="s">
        <v>400</v>
      </c>
      <c r="O4" s="17" t="s">
        <v>401</v>
      </c>
      <c r="P4" s="17" t="s">
        <v>399</v>
      </c>
      <c r="Q4" s="17" t="s">
        <v>402</v>
      </c>
      <c r="R4" s="17" t="s">
        <v>400</v>
      </c>
      <c r="S4" s="17" t="s">
        <v>401</v>
      </c>
      <c r="T4" s="17" t="s">
        <v>399</v>
      </c>
      <c r="U4" s="17" t="s">
        <v>400</v>
      </c>
      <c r="V4" s="17" t="s">
        <v>401</v>
      </c>
      <c r="W4" s="17" t="s">
        <v>399</v>
      </c>
      <c r="X4" s="17" t="s">
        <v>400</v>
      </c>
      <c r="Y4" s="17" t="s">
        <v>401</v>
      </c>
    </row>
    <row r="5" spans="1:25" ht="15.75" customHeight="1" x14ac:dyDescent="0.25">
      <c r="A5" s="14"/>
      <c r="B5" s="3" t="s">
        <v>375</v>
      </c>
      <c r="C5" s="3">
        <f>C6+C17+C24+C36+C47+C60+C73+C81+C91+C98+C108+C122+C132+C144+C158+C172</f>
        <v>168</v>
      </c>
      <c r="D5" s="3">
        <f>D6+D17+D24+D36+D47+D60+D73+D81+D91+D98+D108+D122+D132+D144+D158+D172</f>
        <v>6780.8099999999995</v>
      </c>
      <c r="E5" s="6">
        <f>E6+E17+E24+E36+E47+E60+E73+E81+E91+E98+E108+E122+E132+E144+E158+E172</f>
        <v>14665188</v>
      </c>
      <c r="F5" s="6"/>
      <c r="G5" s="6">
        <f t="shared" ref="G5:Y5" si="0">G6+G17+G24+G36+G47+G60+G73+G81+G91+G98+G108+G122+G132+G144+G158+G172</f>
        <v>693</v>
      </c>
      <c r="H5" s="6">
        <f t="shared" si="0"/>
        <v>264087</v>
      </c>
      <c r="I5" s="6">
        <f t="shared" si="0"/>
        <v>8694</v>
      </c>
      <c r="J5" s="6">
        <f t="shared" si="0"/>
        <v>784</v>
      </c>
      <c r="K5" s="6">
        <f t="shared" si="0"/>
        <v>895516</v>
      </c>
      <c r="L5" s="6">
        <f t="shared" si="0"/>
        <v>23114</v>
      </c>
      <c r="M5" s="6">
        <f t="shared" si="0"/>
        <v>454</v>
      </c>
      <c r="N5" s="6">
        <f t="shared" si="0"/>
        <v>671093</v>
      </c>
      <c r="O5" s="6">
        <f t="shared" si="0"/>
        <v>14259</v>
      </c>
      <c r="P5" s="6">
        <f t="shared" si="0"/>
        <v>1150</v>
      </c>
      <c r="Q5" s="6">
        <f t="shared" si="0"/>
        <v>3380</v>
      </c>
      <c r="R5" s="6">
        <f t="shared" si="0"/>
        <v>245465</v>
      </c>
      <c r="S5" s="6">
        <f t="shared" si="0"/>
        <v>13455</v>
      </c>
      <c r="T5" s="6">
        <f t="shared" si="0"/>
        <v>61</v>
      </c>
      <c r="U5" s="6">
        <f t="shared" si="0"/>
        <v>35185</v>
      </c>
      <c r="V5" s="6">
        <f t="shared" si="0"/>
        <v>1955</v>
      </c>
      <c r="W5" s="6">
        <f t="shared" si="0"/>
        <v>52</v>
      </c>
      <c r="X5" s="6">
        <f t="shared" si="0"/>
        <v>16288</v>
      </c>
      <c r="Y5" s="6">
        <f t="shared" si="0"/>
        <v>1088</v>
      </c>
    </row>
    <row r="6" spans="1:25" ht="15.75" customHeight="1" x14ac:dyDescent="0.25">
      <c r="A6" s="15"/>
      <c r="B6" s="10" t="s">
        <v>377</v>
      </c>
      <c r="C6" s="10">
        <v>10</v>
      </c>
      <c r="D6" s="10">
        <f>SUM(D7:D16)</f>
        <v>516.57999999999993</v>
      </c>
      <c r="E6" s="12">
        <f>SUM(E7:E16)</f>
        <v>928807</v>
      </c>
      <c r="F6" s="10"/>
      <c r="G6" s="29">
        <f t="shared" ref="G6" si="1">SUM(G7:G16)</f>
        <v>48</v>
      </c>
      <c r="H6" s="29">
        <f t="shared" ref="H6" si="2">SUM(H7:H16)</f>
        <v>17290</v>
      </c>
      <c r="I6" s="29">
        <f t="shared" ref="I6" si="3">SUM(I7:I16)</f>
        <v>762</v>
      </c>
      <c r="J6" s="29">
        <f t="shared" ref="J6" si="4">SUM(J7:J16)</f>
        <v>62</v>
      </c>
      <c r="K6" s="29">
        <f t="shared" ref="K6" si="5">SUM(K7:K16)</f>
        <v>61416</v>
      </c>
      <c r="L6" s="29">
        <f t="shared" ref="L6" si="6">SUM(L7:L16)</f>
        <v>1721</v>
      </c>
      <c r="M6" s="29">
        <f t="shared" ref="M6" si="7">SUM(M7:M16)</f>
        <v>35</v>
      </c>
      <c r="N6" s="29">
        <f t="shared" ref="N6" si="8">SUM(N7:N16)</f>
        <v>50023</v>
      </c>
      <c r="O6" s="29">
        <f t="shared" ref="O6" si="9">SUM(O7:O16)</f>
        <v>1108</v>
      </c>
      <c r="P6" s="29">
        <f t="shared" ref="P6" si="10">SUM(P7:P16)</f>
        <v>22</v>
      </c>
      <c r="Q6" s="29">
        <f t="shared" ref="Q6" si="11">SUM(Q7:Q16)</f>
        <v>277</v>
      </c>
      <c r="R6" s="29">
        <f t="shared" ref="R6" si="12">SUM(R7:R16)</f>
        <v>12691</v>
      </c>
      <c r="S6" s="29">
        <f t="shared" ref="S6" si="13">SUM(S7:S16)</f>
        <v>618</v>
      </c>
      <c r="T6" s="29">
        <f t="shared" ref="T6" si="14">SUM(T7:T16)</f>
        <v>0</v>
      </c>
      <c r="U6" s="29">
        <f t="shared" ref="U6" si="15">SUM(U7:U16)</f>
        <v>0</v>
      </c>
      <c r="V6" s="29">
        <f t="shared" ref="V6" si="16">SUM(V7:V16)</f>
        <v>0</v>
      </c>
      <c r="W6" s="29">
        <f t="shared" ref="W6" si="17">SUM(W7:W16)</f>
        <v>0</v>
      </c>
      <c r="X6" s="29">
        <f t="shared" ref="X6" si="18">SUM(X7:X16)</f>
        <v>0</v>
      </c>
      <c r="Y6" s="29">
        <f t="shared" ref="Y6" si="19">SUM(Y7:Y16)</f>
        <v>0</v>
      </c>
    </row>
    <row r="7" spans="1:25" ht="33.6" x14ac:dyDescent="0.25">
      <c r="A7" s="14">
        <v>1</v>
      </c>
      <c r="B7" s="2" t="s">
        <v>201</v>
      </c>
      <c r="C7" s="2" t="s">
        <v>202</v>
      </c>
      <c r="D7" s="4">
        <v>64.88</v>
      </c>
      <c r="E7" s="5">
        <v>128661</v>
      </c>
      <c r="F7" s="2" t="s">
        <v>203</v>
      </c>
      <c r="G7" s="28">
        <v>7</v>
      </c>
      <c r="H7" s="36">
        <v>970</v>
      </c>
      <c r="I7" s="36">
        <v>46</v>
      </c>
      <c r="J7" s="18">
        <v>8</v>
      </c>
      <c r="K7" s="18">
        <v>8701</v>
      </c>
      <c r="L7" s="18">
        <v>219</v>
      </c>
      <c r="M7" s="28">
        <v>5</v>
      </c>
      <c r="N7" s="28">
        <v>8129</v>
      </c>
      <c r="O7" s="28">
        <v>174</v>
      </c>
      <c r="P7" s="18">
        <v>6</v>
      </c>
      <c r="Q7" s="28">
        <v>26</v>
      </c>
      <c r="R7" s="26">
        <v>1248</v>
      </c>
      <c r="S7" s="28">
        <v>52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</row>
    <row r="8" spans="1:25" ht="33.6" x14ac:dyDescent="0.25">
      <c r="A8" s="14">
        <v>2</v>
      </c>
      <c r="B8" s="2" t="s">
        <v>201</v>
      </c>
      <c r="C8" s="2" t="s">
        <v>204</v>
      </c>
      <c r="D8" s="4">
        <v>53.51</v>
      </c>
      <c r="E8" s="5">
        <v>84342</v>
      </c>
      <c r="F8" s="2" t="s">
        <v>205</v>
      </c>
      <c r="G8" s="28">
        <v>7</v>
      </c>
      <c r="H8" s="28">
        <v>3298</v>
      </c>
      <c r="I8" s="28">
        <v>183</v>
      </c>
      <c r="J8" s="18">
        <v>8</v>
      </c>
      <c r="K8" s="18">
        <v>6040</v>
      </c>
      <c r="L8" s="18">
        <v>185</v>
      </c>
      <c r="M8" s="28">
        <v>3</v>
      </c>
      <c r="N8" s="28">
        <v>3544</v>
      </c>
      <c r="O8" s="28">
        <v>92</v>
      </c>
      <c r="P8" s="18">
        <v>5</v>
      </c>
      <c r="Q8" s="28">
        <v>12</v>
      </c>
      <c r="R8" s="26">
        <v>576</v>
      </c>
      <c r="S8" s="28">
        <v>24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</row>
    <row r="9" spans="1:25" ht="33.6" x14ac:dyDescent="0.25">
      <c r="A9" s="14">
        <v>3</v>
      </c>
      <c r="B9" s="2" t="s">
        <v>201</v>
      </c>
      <c r="C9" s="2" t="s">
        <v>206</v>
      </c>
      <c r="D9" s="4">
        <v>62.44</v>
      </c>
      <c r="E9" s="5">
        <v>49862</v>
      </c>
      <c r="F9" s="2" t="s">
        <v>207</v>
      </c>
      <c r="G9" s="28">
        <v>3</v>
      </c>
      <c r="H9" s="28">
        <v>1199</v>
      </c>
      <c r="I9" s="28">
        <v>65</v>
      </c>
      <c r="J9" s="18">
        <v>4</v>
      </c>
      <c r="K9" s="18">
        <v>2288</v>
      </c>
      <c r="L9" s="18">
        <v>89</v>
      </c>
      <c r="M9" s="28">
        <v>3</v>
      </c>
      <c r="N9" s="28">
        <v>3261</v>
      </c>
      <c r="O9" s="28">
        <v>80</v>
      </c>
      <c r="P9" s="18">
        <v>0</v>
      </c>
      <c r="Q9" s="28">
        <v>1</v>
      </c>
      <c r="R9" s="26">
        <v>48</v>
      </c>
      <c r="S9" s="28">
        <v>2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</row>
    <row r="10" spans="1:25" ht="16.8" x14ac:dyDescent="0.25">
      <c r="A10" s="14">
        <v>4</v>
      </c>
      <c r="B10" s="2" t="s">
        <v>201</v>
      </c>
      <c r="C10" s="2" t="s">
        <v>208</v>
      </c>
      <c r="D10" s="4">
        <v>77.7</v>
      </c>
      <c r="E10" s="5">
        <v>40896</v>
      </c>
      <c r="F10" s="2" t="s">
        <v>209</v>
      </c>
      <c r="G10" s="28">
        <v>3</v>
      </c>
      <c r="H10" s="28">
        <v>970</v>
      </c>
      <c r="I10" s="28">
        <v>46</v>
      </c>
      <c r="J10" s="18">
        <v>5</v>
      </c>
      <c r="K10" s="18">
        <v>2843</v>
      </c>
      <c r="L10" s="18">
        <v>137</v>
      </c>
      <c r="M10" s="28">
        <v>3</v>
      </c>
      <c r="N10" s="28">
        <v>2208</v>
      </c>
      <c r="O10" s="28">
        <v>70</v>
      </c>
      <c r="P10" s="18">
        <v>1</v>
      </c>
      <c r="Q10" s="28">
        <v>1</v>
      </c>
      <c r="R10" s="26">
        <v>48</v>
      </c>
      <c r="S10" s="28">
        <v>2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</row>
    <row r="11" spans="1:25" ht="33.6" x14ac:dyDescent="0.25">
      <c r="A11" s="14">
        <v>5</v>
      </c>
      <c r="B11" s="2" t="s">
        <v>201</v>
      </c>
      <c r="C11" s="2" t="s">
        <v>210</v>
      </c>
      <c r="D11" s="4">
        <v>62.06</v>
      </c>
      <c r="E11" s="5">
        <v>40239</v>
      </c>
      <c r="F11" s="2" t="s">
        <v>211</v>
      </c>
      <c r="G11" s="28">
        <v>4</v>
      </c>
      <c r="H11" s="28">
        <v>1242</v>
      </c>
      <c r="I11" s="28">
        <v>57</v>
      </c>
      <c r="J11" s="18">
        <v>5</v>
      </c>
      <c r="K11" s="18">
        <v>3151</v>
      </c>
      <c r="L11" s="18">
        <v>124</v>
      </c>
      <c r="M11" s="28">
        <v>3</v>
      </c>
      <c r="N11" s="36">
        <v>1866</v>
      </c>
      <c r="O11" s="36">
        <v>72</v>
      </c>
      <c r="P11" s="18">
        <v>0</v>
      </c>
      <c r="Q11" s="28">
        <v>7</v>
      </c>
      <c r="R11" s="26">
        <v>336</v>
      </c>
      <c r="S11" s="28">
        <v>14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</row>
    <row r="12" spans="1:25" ht="33.6" x14ac:dyDescent="0.25">
      <c r="A12" s="14">
        <v>6</v>
      </c>
      <c r="B12" s="2" t="s">
        <v>201</v>
      </c>
      <c r="C12" s="2" t="s">
        <v>212</v>
      </c>
      <c r="D12" s="4">
        <v>59.75</v>
      </c>
      <c r="E12" s="5">
        <v>97766</v>
      </c>
      <c r="F12" s="2" t="s">
        <v>213</v>
      </c>
      <c r="G12" s="28">
        <v>4</v>
      </c>
      <c r="H12" s="28">
        <v>1722</v>
      </c>
      <c r="I12" s="28">
        <v>51</v>
      </c>
      <c r="J12" s="18">
        <v>7</v>
      </c>
      <c r="K12" s="18">
        <v>7438</v>
      </c>
      <c r="L12" s="18">
        <v>189</v>
      </c>
      <c r="M12" s="28">
        <v>4</v>
      </c>
      <c r="N12" s="28">
        <v>5627</v>
      </c>
      <c r="O12" s="28">
        <v>114</v>
      </c>
      <c r="P12" s="18">
        <v>3</v>
      </c>
      <c r="Q12" s="28">
        <v>16</v>
      </c>
      <c r="R12" s="26">
        <v>768</v>
      </c>
      <c r="S12" s="28">
        <v>32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</row>
    <row r="13" spans="1:25" ht="16.8" x14ac:dyDescent="0.25">
      <c r="A13" s="14">
        <v>7</v>
      </c>
      <c r="B13" s="2" t="s">
        <v>201</v>
      </c>
      <c r="C13" s="2" t="s">
        <v>214</v>
      </c>
      <c r="D13" s="4">
        <v>54.44</v>
      </c>
      <c r="E13" s="5">
        <v>99675</v>
      </c>
      <c r="F13" s="2" t="s">
        <v>215</v>
      </c>
      <c r="G13" s="28">
        <v>4</v>
      </c>
      <c r="H13" s="36">
        <v>1274</v>
      </c>
      <c r="I13" s="36">
        <v>64</v>
      </c>
      <c r="J13" s="18">
        <v>4</v>
      </c>
      <c r="K13" s="18">
        <v>4834</v>
      </c>
      <c r="L13" s="18">
        <v>110</v>
      </c>
      <c r="M13" s="28">
        <v>3</v>
      </c>
      <c r="N13" s="28">
        <v>3382</v>
      </c>
      <c r="O13" s="28">
        <v>95</v>
      </c>
      <c r="P13" s="18">
        <v>3</v>
      </c>
      <c r="Q13" s="28">
        <v>34</v>
      </c>
      <c r="R13" s="26">
        <v>1632</v>
      </c>
      <c r="S13" s="28">
        <v>68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</row>
    <row r="14" spans="1:25" s="24" customFormat="1" ht="16.8" x14ac:dyDescent="0.25">
      <c r="A14" s="19">
        <v>8</v>
      </c>
      <c r="B14" s="20" t="s">
        <v>216</v>
      </c>
      <c r="C14" s="20" t="s">
        <v>219</v>
      </c>
      <c r="D14" s="21">
        <v>16.43</v>
      </c>
      <c r="E14" s="22">
        <v>93323</v>
      </c>
      <c r="F14" s="20" t="s">
        <v>220</v>
      </c>
      <c r="G14" s="30">
        <v>7</v>
      </c>
      <c r="H14" s="30">
        <v>2406</v>
      </c>
      <c r="I14" s="30">
        <v>88</v>
      </c>
      <c r="J14" s="23">
        <v>6</v>
      </c>
      <c r="K14" s="23">
        <v>1975</v>
      </c>
      <c r="L14" s="23">
        <v>49</v>
      </c>
      <c r="M14" s="30">
        <v>4</v>
      </c>
      <c r="N14" s="30">
        <v>6928</v>
      </c>
      <c r="O14" s="30">
        <v>130</v>
      </c>
      <c r="P14" s="23">
        <v>1</v>
      </c>
      <c r="Q14" s="30">
        <v>26</v>
      </c>
      <c r="R14" s="23">
        <v>1102</v>
      </c>
      <c r="S14" s="30">
        <v>73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</row>
    <row r="15" spans="1:25" ht="33.6" x14ac:dyDescent="0.25">
      <c r="A15" s="14">
        <v>9</v>
      </c>
      <c r="B15" s="2" t="s">
        <v>216</v>
      </c>
      <c r="C15" s="2" t="s">
        <v>221</v>
      </c>
      <c r="D15" s="4">
        <v>35.21</v>
      </c>
      <c r="E15" s="5">
        <v>103643</v>
      </c>
      <c r="F15" s="2" t="s">
        <v>222</v>
      </c>
      <c r="G15" s="28">
        <v>5</v>
      </c>
      <c r="H15" s="28">
        <v>1999</v>
      </c>
      <c r="I15" s="28">
        <v>84</v>
      </c>
      <c r="J15" s="18">
        <v>7</v>
      </c>
      <c r="K15" s="18">
        <v>9454</v>
      </c>
      <c r="L15" s="18">
        <v>262</v>
      </c>
      <c r="M15" s="28">
        <v>3</v>
      </c>
      <c r="N15" s="28">
        <v>6301</v>
      </c>
      <c r="O15" s="28">
        <v>101</v>
      </c>
      <c r="P15" s="18">
        <v>2</v>
      </c>
      <c r="Q15" s="28">
        <v>75</v>
      </c>
      <c r="R15" s="18">
        <v>3752</v>
      </c>
      <c r="S15" s="28">
        <v>173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</row>
    <row r="16" spans="1:25" ht="16.8" x14ac:dyDescent="0.25">
      <c r="A16" s="14">
        <v>10</v>
      </c>
      <c r="B16" s="2" t="s">
        <v>216</v>
      </c>
      <c r="C16" s="2" t="s">
        <v>217</v>
      </c>
      <c r="D16" s="4">
        <v>30.16</v>
      </c>
      <c r="E16" s="5">
        <v>190400</v>
      </c>
      <c r="F16" s="2" t="s">
        <v>218</v>
      </c>
      <c r="G16" s="28">
        <v>4</v>
      </c>
      <c r="H16" s="28">
        <v>2210</v>
      </c>
      <c r="I16" s="28">
        <v>78</v>
      </c>
      <c r="J16" s="18">
        <v>8</v>
      </c>
      <c r="K16" s="18">
        <v>14692</v>
      </c>
      <c r="L16" s="18">
        <v>357</v>
      </c>
      <c r="M16" s="28">
        <v>4</v>
      </c>
      <c r="N16" s="28">
        <v>8777</v>
      </c>
      <c r="O16" s="28">
        <v>180</v>
      </c>
      <c r="P16" s="18">
        <v>1</v>
      </c>
      <c r="Q16" s="28">
        <v>79</v>
      </c>
      <c r="R16" s="18">
        <v>3181</v>
      </c>
      <c r="S16" s="28">
        <v>178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</row>
    <row r="17" spans="1:25" ht="16.8" x14ac:dyDescent="0.25">
      <c r="A17" s="15"/>
      <c r="B17" s="10" t="s">
        <v>378</v>
      </c>
      <c r="C17" s="10">
        <v>6</v>
      </c>
      <c r="D17" s="11">
        <f>SUM(D18:D23)</f>
        <v>80.100000000000009</v>
      </c>
      <c r="E17" s="13">
        <f>SUM(E18:E23)</f>
        <v>986486</v>
      </c>
      <c r="F17" s="10"/>
      <c r="G17" s="29">
        <f>SUM(G18:G23)</f>
        <v>27</v>
      </c>
      <c r="H17" s="29">
        <f t="shared" ref="H17:Y17" si="20">SUM(H18:H23)</f>
        <v>9481</v>
      </c>
      <c r="I17" s="29">
        <f t="shared" si="20"/>
        <v>302</v>
      </c>
      <c r="J17" s="29">
        <f t="shared" si="20"/>
        <v>30</v>
      </c>
      <c r="K17" s="29">
        <f t="shared" si="20"/>
        <v>58134</v>
      </c>
      <c r="L17" s="29">
        <f t="shared" si="20"/>
        <v>947</v>
      </c>
      <c r="M17" s="29">
        <f t="shared" si="20"/>
        <v>20</v>
      </c>
      <c r="N17" s="29">
        <f t="shared" si="20"/>
        <v>44491</v>
      </c>
      <c r="O17" s="29">
        <f t="shared" si="20"/>
        <v>739</v>
      </c>
      <c r="P17" s="29">
        <f t="shared" si="20"/>
        <v>45</v>
      </c>
      <c r="Q17" s="29">
        <f t="shared" si="20"/>
        <v>369</v>
      </c>
      <c r="R17" s="29">
        <f t="shared" si="20"/>
        <v>25422</v>
      </c>
      <c r="S17" s="29">
        <f t="shared" si="20"/>
        <v>1569</v>
      </c>
      <c r="T17" s="29">
        <f t="shared" si="20"/>
        <v>7</v>
      </c>
      <c r="U17" s="29">
        <f t="shared" si="20"/>
        <v>990</v>
      </c>
      <c r="V17" s="29">
        <f t="shared" si="20"/>
        <v>457</v>
      </c>
      <c r="W17" s="29">
        <f t="shared" si="20"/>
        <v>5</v>
      </c>
      <c r="X17" s="29">
        <f t="shared" si="20"/>
        <v>274</v>
      </c>
      <c r="Y17" s="29">
        <f t="shared" si="20"/>
        <v>42</v>
      </c>
    </row>
    <row r="18" spans="1:25" ht="33.6" x14ac:dyDescent="0.25">
      <c r="A18" s="14">
        <v>11</v>
      </c>
      <c r="B18" s="2" t="s">
        <v>216</v>
      </c>
      <c r="C18" s="2" t="s">
        <v>223</v>
      </c>
      <c r="D18" s="4">
        <v>27.36</v>
      </c>
      <c r="E18" s="5">
        <v>204289</v>
      </c>
      <c r="F18" s="2" t="s">
        <v>224</v>
      </c>
      <c r="G18" s="28">
        <v>4</v>
      </c>
      <c r="H18" s="28">
        <v>1820</v>
      </c>
      <c r="I18" s="28">
        <v>59</v>
      </c>
      <c r="J18" s="18">
        <v>6</v>
      </c>
      <c r="K18" s="18">
        <v>12556</v>
      </c>
      <c r="L18" s="18">
        <v>268</v>
      </c>
      <c r="M18" s="28">
        <v>5</v>
      </c>
      <c r="N18" s="28">
        <v>12722</v>
      </c>
      <c r="O18" s="28">
        <v>230</v>
      </c>
      <c r="P18" s="18">
        <v>3</v>
      </c>
      <c r="Q18" s="28">
        <v>70</v>
      </c>
      <c r="R18" s="18">
        <v>3709</v>
      </c>
      <c r="S18" s="28">
        <v>180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</row>
    <row r="19" spans="1:25" ht="33.6" x14ac:dyDescent="0.25">
      <c r="A19" s="14">
        <v>12</v>
      </c>
      <c r="B19" s="2" t="s">
        <v>76</v>
      </c>
      <c r="C19" s="2" t="s">
        <v>77</v>
      </c>
      <c r="D19" s="2">
        <v>8.26</v>
      </c>
      <c r="E19" s="7">
        <v>182895</v>
      </c>
      <c r="F19" s="2" t="s">
        <v>78</v>
      </c>
      <c r="G19" s="28">
        <v>6</v>
      </c>
      <c r="H19" s="28">
        <v>1315</v>
      </c>
      <c r="I19" s="28">
        <v>44</v>
      </c>
      <c r="J19" s="18">
        <v>9</v>
      </c>
      <c r="K19" s="18">
        <v>11962</v>
      </c>
      <c r="L19" s="18">
        <v>254</v>
      </c>
      <c r="M19" s="28">
        <v>5</v>
      </c>
      <c r="N19" s="28">
        <v>8001</v>
      </c>
      <c r="O19" s="28">
        <v>143</v>
      </c>
      <c r="P19" s="18">
        <v>12</v>
      </c>
      <c r="Q19" s="28">
        <v>65</v>
      </c>
      <c r="R19" s="18">
        <v>5665</v>
      </c>
      <c r="S19" s="28">
        <v>331</v>
      </c>
      <c r="T19" s="18">
        <v>4</v>
      </c>
      <c r="U19" s="18">
        <v>760</v>
      </c>
      <c r="V19" s="18">
        <v>48</v>
      </c>
      <c r="W19" s="18">
        <v>4</v>
      </c>
      <c r="X19" s="18">
        <v>274</v>
      </c>
      <c r="Y19" s="18">
        <v>30</v>
      </c>
    </row>
    <row r="20" spans="1:25" ht="16.8" x14ac:dyDescent="0.25">
      <c r="A20" s="14">
        <v>13</v>
      </c>
      <c r="B20" s="2" t="s">
        <v>76</v>
      </c>
      <c r="C20" s="2" t="s">
        <v>79</v>
      </c>
      <c r="D20" s="2">
        <v>6.93</v>
      </c>
      <c r="E20" s="7">
        <v>126470</v>
      </c>
      <c r="F20" s="2" t="s">
        <v>80</v>
      </c>
      <c r="G20" s="28">
        <v>2</v>
      </c>
      <c r="H20" s="28">
        <v>575</v>
      </c>
      <c r="I20" s="28">
        <v>16</v>
      </c>
      <c r="J20" s="18">
        <v>4</v>
      </c>
      <c r="K20" s="18">
        <v>7296</v>
      </c>
      <c r="L20" s="18">
        <v>86</v>
      </c>
      <c r="M20" s="28">
        <v>2</v>
      </c>
      <c r="N20" s="28">
        <v>5840</v>
      </c>
      <c r="O20" s="28">
        <v>72</v>
      </c>
      <c r="P20" s="18">
        <v>9</v>
      </c>
      <c r="Q20" s="28">
        <v>54</v>
      </c>
      <c r="R20" s="18">
        <v>3770</v>
      </c>
      <c r="S20" s="28">
        <v>228</v>
      </c>
      <c r="T20" s="18">
        <v>1</v>
      </c>
      <c r="U20" s="18">
        <v>89</v>
      </c>
      <c r="V20" s="18">
        <v>7</v>
      </c>
      <c r="W20" s="18">
        <v>0</v>
      </c>
      <c r="X20" s="18">
        <v>0</v>
      </c>
      <c r="Y20" s="18">
        <v>0</v>
      </c>
    </row>
    <row r="21" spans="1:25" ht="16.8" x14ac:dyDescent="0.25">
      <c r="A21" s="14">
        <v>14</v>
      </c>
      <c r="B21" s="2" t="s">
        <v>76</v>
      </c>
      <c r="C21" s="2" t="s">
        <v>81</v>
      </c>
      <c r="D21" s="2">
        <v>8.06</v>
      </c>
      <c r="E21" s="7">
        <v>168060</v>
      </c>
      <c r="F21" s="2" t="s">
        <v>82</v>
      </c>
      <c r="G21" s="28">
        <v>5</v>
      </c>
      <c r="H21" s="28">
        <v>2239</v>
      </c>
      <c r="I21" s="28">
        <v>68</v>
      </c>
      <c r="J21" s="18">
        <v>4</v>
      </c>
      <c r="K21" s="18">
        <v>11936</v>
      </c>
      <c r="L21" s="18">
        <v>150</v>
      </c>
      <c r="M21" s="28">
        <v>3</v>
      </c>
      <c r="N21" s="28">
        <v>8477</v>
      </c>
      <c r="O21" s="28">
        <v>135</v>
      </c>
      <c r="P21" s="18">
        <v>8</v>
      </c>
      <c r="Q21" s="28">
        <v>69</v>
      </c>
      <c r="R21" s="18">
        <v>4967</v>
      </c>
      <c r="S21" s="28">
        <v>299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</row>
    <row r="22" spans="1:25" ht="16.8" x14ac:dyDescent="0.25">
      <c r="A22" s="14">
        <v>15</v>
      </c>
      <c r="B22" s="2" t="s">
        <v>76</v>
      </c>
      <c r="C22" s="2" t="s">
        <v>83</v>
      </c>
      <c r="D22" s="2">
        <v>14.9</v>
      </c>
      <c r="E22" s="7">
        <v>125657</v>
      </c>
      <c r="F22" s="2" t="s">
        <v>84</v>
      </c>
      <c r="G22" s="28">
        <v>6</v>
      </c>
      <c r="H22" s="28">
        <v>1906</v>
      </c>
      <c r="I22" s="28">
        <v>61</v>
      </c>
      <c r="J22" s="18">
        <v>4</v>
      </c>
      <c r="K22" s="18">
        <v>7712</v>
      </c>
      <c r="L22" s="18">
        <v>106</v>
      </c>
      <c r="M22" s="28">
        <v>3</v>
      </c>
      <c r="N22" s="28">
        <v>5343</v>
      </c>
      <c r="O22" s="28">
        <v>90</v>
      </c>
      <c r="P22" s="18">
        <v>8</v>
      </c>
      <c r="Q22" s="28">
        <v>53</v>
      </c>
      <c r="R22" s="18">
        <v>4015</v>
      </c>
      <c r="S22" s="28">
        <v>267</v>
      </c>
      <c r="T22" s="18">
        <v>1</v>
      </c>
      <c r="U22" s="18">
        <v>3</v>
      </c>
      <c r="V22" s="18">
        <v>392</v>
      </c>
      <c r="W22" s="18">
        <v>0</v>
      </c>
      <c r="X22" s="18">
        <v>0</v>
      </c>
      <c r="Y22" s="18">
        <v>0</v>
      </c>
    </row>
    <row r="23" spans="1:25" ht="16.8" x14ac:dyDescent="0.25">
      <c r="A23" s="14">
        <v>16</v>
      </c>
      <c r="B23" s="2" t="s">
        <v>76</v>
      </c>
      <c r="C23" s="2" t="s">
        <v>85</v>
      </c>
      <c r="D23" s="2">
        <v>14.59</v>
      </c>
      <c r="E23" s="7">
        <v>179115</v>
      </c>
      <c r="F23" s="2" t="s">
        <v>86</v>
      </c>
      <c r="G23" s="28">
        <v>4</v>
      </c>
      <c r="H23" s="28">
        <v>1626</v>
      </c>
      <c r="I23" s="28">
        <v>54</v>
      </c>
      <c r="J23" s="18">
        <v>3</v>
      </c>
      <c r="K23" s="18">
        <v>6672</v>
      </c>
      <c r="L23" s="18">
        <v>83</v>
      </c>
      <c r="M23" s="28">
        <v>2</v>
      </c>
      <c r="N23" s="28">
        <v>4108</v>
      </c>
      <c r="O23" s="28">
        <v>69</v>
      </c>
      <c r="P23" s="18">
        <v>5</v>
      </c>
      <c r="Q23" s="28">
        <v>58</v>
      </c>
      <c r="R23" s="18">
        <v>3296</v>
      </c>
      <c r="S23" s="28">
        <v>264</v>
      </c>
      <c r="T23" s="18">
        <v>1</v>
      </c>
      <c r="U23" s="18">
        <v>138</v>
      </c>
      <c r="V23" s="18">
        <v>10</v>
      </c>
      <c r="W23" s="18">
        <v>1</v>
      </c>
      <c r="X23" s="18"/>
      <c r="Y23" s="18">
        <v>12</v>
      </c>
    </row>
    <row r="24" spans="1:25" ht="16.8" x14ac:dyDescent="0.25">
      <c r="A24" s="15"/>
      <c r="B24" s="10" t="s">
        <v>379</v>
      </c>
      <c r="C24" s="10">
        <v>11</v>
      </c>
      <c r="D24" s="10">
        <f>SUM(D25:D35)</f>
        <v>38.32</v>
      </c>
      <c r="E24" s="12">
        <f>SUM(E25:E35)</f>
        <v>1068306</v>
      </c>
      <c r="F24" s="10"/>
      <c r="G24" s="29">
        <f>SUM(G25:G35)</f>
        <v>39</v>
      </c>
      <c r="H24" s="29">
        <f t="shared" ref="H24:Y24" si="21">SUM(H25:H35)</f>
        <v>12204</v>
      </c>
      <c r="I24" s="29">
        <f t="shared" si="21"/>
        <v>486</v>
      </c>
      <c r="J24" s="29">
        <f t="shared" si="21"/>
        <v>43</v>
      </c>
      <c r="K24" s="29">
        <f t="shared" si="21"/>
        <v>55467</v>
      </c>
      <c r="L24" s="29">
        <f t="shared" si="21"/>
        <v>1233</v>
      </c>
      <c r="M24" s="29">
        <f t="shared" si="21"/>
        <v>28</v>
      </c>
      <c r="N24" s="29">
        <f t="shared" si="21"/>
        <v>45591</v>
      </c>
      <c r="O24" s="29">
        <f t="shared" si="21"/>
        <v>843</v>
      </c>
      <c r="P24" s="29">
        <f t="shared" si="21"/>
        <v>75</v>
      </c>
      <c r="Q24" s="29">
        <f t="shared" si="21"/>
        <v>252</v>
      </c>
      <c r="R24" s="29">
        <f t="shared" si="21"/>
        <v>18776</v>
      </c>
      <c r="S24" s="29">
        <f t="shared" si="21"/>
        <v>1275</v>
      </c>
      <c r="T24" s="29">
        <f t="shared" si="21"/>
        <v>1</v>
      </c>
      <c r="U24" s="29">
        <f t="shared" si="21"/>
        <v>1013</v>
      </c>
      <c r="V24" s="29">
        <f t="shared" si="21"/>
        <v>43</v>
      </c>
      <c r="W24" s="29">
        <f t="shared" si="21"/>
        <v>2</v>
      </c>
      <c r="X24" s="29">
        <f t="shared" si="21"/>
        <v>319</v>
      </c>
      <c r="Y24" s="29">
        <f t="shared" si="21"/>
        <v>37</v>
      </c>
    </row>
    <row r="25" spans="1:25" ht="33.6" x14ac:dyDescent="0.25">
      <c r="A25" s="14">
        <v>17</v>
      </c>
      <c r="B25" s="2" t="s">
        <v>142</v>
      </c>
      <c r="C25" s="2" t="s">
        <v>143</v>
      </c>
      <c r="D25" s="2">
        <v>3.95</v>
      </c>
      <c r="E25" s="7">
        <v>72616</v>
      </c>
      <c r="F25" s="2" t="s">
        <v>144</v>
      </c>
      <c r="G25" s="28">
        <v>1</v>
      </c>
      <c r="H25" s="28">
        <v>325</v>
      </c>
      <c r="I25" s="28">
        <v>12</v>
      </c>
      <c r="J25" s="18">
        <v>1</v>
      </c>
      <c r="K25" s="18">
        <v>2749</v>
      </c>
      <c r="L25" s="18">
        <v>34</v>
      </c>
      <c r="M25" s="28">
        <v>1</v>
      </c>
      <c r="N25" s="28">
        <v>2765</v>
      </c>
      <c r="O25" s="28">
        <v>33</v>
      </c>
      <c r="P25" s="18">
        <v>9</v>
      </c>
      <c r="Q25" s="28">
        <v>21</v>
      </c>
      <c r="R25" s="18">
        <v>2178</v>
      </c>
      <c r="S25" s="28">
        <v>129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</row>
    <row r="26" spans="1:25" ht="67.2" x14ac:dyDescent="0.25">
      <c r="A26" s="14">
        <v>18</v>
      </c>
      <c r="B26" s="2" t="s">
        <v>142</v>
      </c>
      <c r="C26" s="2" t="s">
        <v>145</v>
      </c>
      <c r="D26" s="2">
        <v>3.46</v>
      </c>
      <c r="E26" s="7">
        <v>117277</v>
      </c>
      <c r="F26" s="2" t="s">
        <v>146</v>
      </c>
      <c r="G26" s="28">
        <v>3</v>
      </c>
      <c r="H26" s="28">
        <v>883</v>
      </c>
      <c r="I26" s="28">
        <v>34</v>
      </c>
      <c r="J26" s="18">
        <v>3</v>
      </c>
      <c r="K26" s="18">
        <v>6698</v>
      </c>
      <c r="L26" s="18">
        <v>110</v>
      </c>
      <c r="M26" s="28">
        <v>3</v>
      </c>
      <c r="N26" s="28">
        <v>4921</v>
      </c>
      <c r="O26" s="28">
        <v>93</v>
      </c>
      <c r="P26" s="18">
        <v>8</v>
      </c>
      <c r="Q26" s="28">
        <v>24</v>
      </c>
      <c r="R26" s="18">
        <v>2016</v>
      </c>
      <c r="S26" s="28">
        <v>134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</row>
    <row r="27" spans="1:25" ht="50.4" x14ac:dyDescent="0.25">
      <c r="A27" s="14">
        <v>19</v>
      </c>
      <c r="B27" s="2" t="s">
        <v>142</v>
      </c>
      <c r="C27" s="2" t="s">
        <v>147</v>
      </c>
      <c r="D27" s="2">
        <v>3.02</v>
      </c>
      <c r="E27" s="7">
        <v>140436</v>
      </c>
      <c r="F27" s="2" t="s">
        <v>148</v>
      </c>
      <c r="G27" s="28">
        <v>6</v>
      </c>
      <c r="H27" s="28">
        <v>2341</v>
      </c>
      <c r="I27" s="28">
        <v>83</v>
      </c>
      <c r="J27" s="18">
        <v>4</v>
      </c>
      <c r="K27" s="18">
        <v>7468</v>
      </c>
      <c r="L27" s="18">
        <v>122</v>
      </c>
      <c r="M27" s="28">
        <v>4</v>
      </c>
      <c r="N27" s="28">
        <v>9320</v>
      </c>
      <c r="O27" s="28">
        <v>137</v>
      </c>
      <c r="P27" s="18">
        <v>12</v>
      </c>
      <c r="Q27" s="28">
        <v>28</v>
      </c>
      <c r="R27" s="18">
        <v>3047</v>
      </c>
      <c r="S27" s="28">
        <v>180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</row>
    <row r="28" spans="1:25" ht="50.4" x14ac:dyDescent="0.25">
      <c r="A28" s="14">
        <v>20</v>
      </c>
      <c r="B28" s="2" t="s">
        <v>142</v>
      </c>
      <c r="C28" s="2" t="s">
        <v>149</v>
      </c>
      <c r="D28" s="2">
        <v>2.52</v>
      </c>
      <c r="E28" s="7">
        <v>93117</v>
      </c>
      <c r="F28" s="2" t="s">
        <v>150</v>
      </c>
      <c r="G28" s="28">
        <v>3</v>
      </c>
      <c r="H28" s="28">
        <v>1307</v>
      </c>
      <c r="I28" s="28">
        <v>48</v>
      </c>
      <c r="J28" s="18">
        <v>4</v>
      </c>
      <c r="K28" s="18">
        <v>5696</v>
      </c>
      <c r="L28" s="18">
        <v>107</v>
      </c>
      <c r="M28" s="28">
        <v>3</v>
      </c>
      <c r="N28" s="28">
        <v>4106</v>
      </c>
      <c r="O28" s="28">
        <v>76</v>
      </c>
      <c r="P28" s="18">
        <v>3</v>
      </c>
      <c r="Q28" s="28">
        <v>17</v>
      </c>
      <c r="R28" s="18">
        <v>1193</v>
      </c>
      <c r="S28" s="28">
        <v>89</v>
      </c>
      <c r="T28" s="18">
        <v>0</v>
      </c>
      <c r="U28" s="18">
        <v>691</v>
      </c>
      <c r="V28" s="18">
        <v>27</v>
      </c>
      <c r="W28" s="18">
        <v>1</v>
      </c>
      <c r="X28" s="18">
        <v>319</v>
      </c>
      <c r="Y28" s="18">
        <v>13</v>
      </c>
    </row>
    <row r="29" spans="1:25" ht="33.6" x14ac:dyDescent="0.25">
      <c r="A29" s="14">
        <v>21</v>
      </c>
      <c r="B29" s="2" t="s">
        <v>142</v>
      </c>
      <c r="C29" s="2" t="s">
        <v>151</v>
      </c>
      <c r="D29" s="2">
        <v>2.99</v>
      </c>
      <c r="E29" s="7">
        <v>103780</v>
      </c>
      <c r="F29" s="2" t="s">
        <v>152</v>
      </c>
      <c r="G29" s="28">
        <v>2</v>
      </c>
      <c r="H29" s="28">
        <v>780</v>
      </c>
      <c r="I29" s="28">
        <v>29</v>
      </c>
      <c r="J29" s="18">
        <v>5</v>
      </c>
      <c r="K29" s="18">
        <v>8324</v>
      </c>
      <c r="L29" s="18">
        <v>143</v>
      </c>
      <c r="M29" s="28">
        <v>3</v>
      </c>
      <c r="N29" s="28">
        <v>4635</v>
      </c>
      <c r="O29" s="28">
        <v>88</v>
      </c>
      <c r="P29" s="18">
        <v>8</v>
      </c>
      <c r="Q29" s="28">
        <v>30</v>
      </c>
      <c r="R29" s="18">
        <v>2367</v>
      </c>
      <c r="S29" s="28">
        <v>163</v>
      </c>
      <c r="T29" s="18"/>
      <c r="U29" s="18"/>
      <c r="V29" s="18"/>
      <c r="W29" s="18">
        <v>1</v>
      </c>
      <c r="X29" s="18">
        <v>0</v>
      </c>
      <c r="Y29" s="18">
        <v>24</v>
      </c>
    </row>
    <row r="30" spans="1:25" ht="16.8" x14ac:dyDescent="0.25">
      <c r="A30" s="14">
        <v>22</v>
      </c>
      <c r="B30" s="2" t="s">
        <v>129</v>
      </c>
      <c r="C30" s="2" t="s">
        <v>130</v>
      </c>
      <c r="D30" s="2">
        <v>2.62</v>
      </c>
      <c r="E30" s="7">
        <v>64150</v>
      </c>
      <c r="F30" s="2" t="s">
        <v>131</v>
      </c>
      <c r="G30" s="28">
        <v>4</v>
      </c>
      <c r="H30" s="28">
        <v>670</v>
      </c>
      <c r="I30" s="28">
        <v>35</v>
      </c>
      <c r="J30" s="18">
        <v>3</v>
      </c>
      <c r="K30" s="18">
        <v>2551</v>
      </c>
      <c r="L30" s="18">
        <v>74</v>
      </c>
      <c r="M30" s="28">
        <v>1</v>
      </c>
      <c r="N30" s="28">
        <v>2160</v>
      </c>
      <c r="O30" s="28">
        <v>28</v>
      </c>
      <c r="P30" s="18">
        <v>6</v>
      </c>
      <c r="Q30" s="28">
        <v>25</v>
      </c>
      <c r="R30" s="18">
        <v>1042</v>
      </c>
      <c r="S30" s="28">
        <v>102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</row>
    <row r="31" spans="1:25" ht="16.8" x14ac:dyDescent="0.25">
      <c r="A31" s="14">
        <v>23</v>
      </c>
      <c r="B31" s="2" t="s">
        <v>129</v>
      </c>
      <c r="C31" s="2" t="s">
        <v>132</v>
      </c>
      <c r="D31" s="2">
        <v>3.19</v>
      </c>
      <c r="E31" s="7">
        <v>84639</v>
      </c>
      <c r="F31" s="2" t="s">
        <v>133</v>
      </c>
      <c r="G31" s="28">
        <v>6</v>
      </c>
      <c r="H31" s="28">
        <v>1395</v>
      </c>
      <c r="I31" s="28">
        <v>68</v>
      </c>
      <c r="J31" s="18">
        <v>4</v>
      </c>
      <c r="K31" s="18">
        <v>3558</v>
      </c>
      <c r="L31" s="18">
        <v>107</v>
      </c>
      <c r="M31" s="28">
        <v>2</v>
      </c>
      <c r="N31" s="28">
        <v>3126</v>
      </c>
      <c r="O31" s="28">
        <v>62</v>
      </c>
      <c r="P31" s="18">
        <v>5</v>
      </c>
      <c r="Q31" s="28">
        <v>10</v>
      </c>
      <c r="R31" s="18">
        <v>1455</v>
      </c>
      <c r="S31" s="28">
        <v>68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</row>
    <row r="32" spans="1:25" ht="16.8" x14ac:dyDescent="0.25">
      <c r="A32" s="14">
        <v>24</v>
      </c>
      <c r="B32" s="2" t="s">
        <v>129</v>
      </c>
      <c r="C32" s="2" t="s">
        <v>134</v>
      </c>
      <c r="D32" s="2">
        <v>1.47</v>
      </c>
      <c r="E32" s="7">
        <v>93437</v>
      </c>
      <c r="F32" s="2" t="s">
        <v>135</v>
      </c>
      <c r="G32" s="28">
        <v>4</v>
      </c>
      <c r="H32" s="28">
        <v>784</v>
      </c>
      <c r="I32" s="28">
        <v>37</v>
      </c>
      <c r="J32" s="18">
        <v>5</v>
      </c>
      <c r="K32" s="18">
        <v>3127</v>
      </c>
      <c r="L32" s="18">
        <v>132</v>
      </c>
      <c r="M32" s="28">
        <v>6</v>
      </c>
      <c r="N32" s="28">
        <v>5221</v>
      </c>
      <c r="O32" s="28">
        <v>170</v>
      </c>
      <c r="P32" s="18">
        <v>0</v>
      </c>
      <c r="Q32" s="28">
        <v>2</v>
      </c>
      <c r="R32" s="18">
        <v>39</v>
      </c>
      <c r="S32" s="28">
        <v>4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</row>
    <row r="33" spans="1:25" ht="16.8" x14ac:dyDescent="0.25">
      <c r="A33" s="14">
        <v>25</v>
      </c>
      <c r="B33" s="2" t="s">
        <v>129</v>
      </c>
      <c r="C33" s="2" t="s">
        <v>136</v>
      </c>
      <c r="D33" s="2">
        <v>2.86</v>
      </c>
      <c r="E33" s="7">
        <v>132252</v>
      </c>
      <c r="F33" s="2" t="s">
        <v>137</v>
      </c>
      <c r="G33" s="28">
        <v>6</v>
      </c>
      <c r="H33" s="28">
        <v>1805</v>
      </c>
      <c r="I33" s="28">
        <v>79</v>
      </c>
      <c r="J33" s="18">
        <v>7</v>
      </c>
      <c r="K33" s="18">
        <v>6947</v>
      </c>
      <c r="L33" s="18">
        <v>192</v>
      </c>
      <c r="M33" s="28">
        <v>4</v>
      </c>
      <c r="N33" s="28">
        <v>6714</v>
      </c>
      <c r="O33" s="28">
        <v>106</v>
      </c>
      <c r="P33" s="18">
        <v>8</v>
      </c>
      <c r="Q33" s="28">
        <v>24</v>
      </c>
      <c r="R33" s="18">
        <v>1857</v>
      </c>
      <c r="S33" s="28">
        <v>130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</row>
    <row r="34" spans="1:25" ht="33.6" x14ac:dyDescent="0.25">
      <c r="A34" s="14">
        <v>26</v>
      </c>
      <c r="B34" s="2" t="s">
        <v>129</v>
      </c>
      <c r="C34" s="2" t="s">
        <v>138</v>
      </c>
      <c r="D34" s="2">
        <v>2.12</v>
      </c>
      <c r="E34" s="7">
        <v>89373</v>
      </c>
      <c r="F34" s="2" t="s">
        <v>139</v>
      </c>
      <c r="G34" s="28">
        <v>3</v>
      </c>
      <c r="H34" s="28">
        <v>1434</v>
      </c>
      <c r="I34" s="28">
        <v>49</v>
      </c>
      <c r="J34" s="18">
        <v>4</v>
      </c>
      <c r="K34" s="18">
        <v>4315</v>
      </c>
      <c r="L34" s="18">
        <v>111</v>
      </c>
      <c r="M34" s="28">
        <v>1</v>
      </c>
      <c r="N34" s="28">
        <v>2623</v>
      </c>
      <c r="O34" s="28">
        <v>50</v>
      </c>
      <c r="P34" s="18">
        <v>11</v>
      </c>
      <c r="Q34" s="28">
        <v>30</v>
      </c>
      <c r="R34" s="18">
        <v>1806</v>
      </c>
      <c r="S34" s="28">
        <v>152</v>
      </c>
      <c r="T34" s="18">
        <v>1</v>
      </c>
      <c r="U34" s="18">
        <v>322</v>
      </c>
      <c r="V34" s="18">
        <v>16</v>
      </c>
      <c r="W34" s="18">
        <v>0</v>
      </c>
      <c r="X34" s="18">
        <v>0</v>
      </c>
      <c r="Y34" s="18">
        <v>0</v>
      </c>
    </row>
    <row r="35" spans="1:25" ht="33.6" x14ac:dyDescent="0.25">
      <c r="A35" s="14">
        <v>27</v>
      </c>
      <c r="B35" s="2" t="s">
        <v>129</v>
      </c>
      <c r="C35" s="2" t="s">
        <v>140</v>
      </c>
      <c r="D35" s="2">
        <v>10.119999999999999</v>
      </c>
      <c r="E35" s="7">
        <v>77229</v>
      </c>
      <c r="F35" s="2" t="s">
        <v>141</v>
      </c>
      <c r="G35" s="28">
        <v>1</v>
      </c>
      <c r="H35" s="28">
        <v>480</v>
      </c>
      <c r="I35" s="28">
        <v>12</v>
      </c>
      <c r="J35" s="18">
        <v>3</v>
      </c>
      <c r="K35" s="18">
        <v>4034</v>
      </c>
      <c r="L35" s="18">
        <v>101</v>
      </c>
      <c r="M35" s="28">
        <v>0</v>
      </c>
      <c r="N35" s="28">
        <v>0</v>
      </c>
      <c r="O35" s="28">
        <v>0</v>
      </c>
      <c r="P35" s="18">
        <v>5</v>
      </c>
      <c r="Q35" s="28">
        <v>41</v>
      </c>
      <c r="R35" s="18">
        <v>1776</v>
      </c>
      <c r="S35" s="28">
        <v>124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</row>
    <row r="36" spans="1:25" ht="16.8" x14ac:dyDescent="0.25">
      <c r="A36" s="15"/>
      <c r="B36" s="10" t="s">
        <v>380</v>
      </c>
      <c r="C36" s="10">
        <v>10</v>
      </c>
      <c r="D36" s="10">
        <f>SUM(D37:D46)</f>
        <v>28.500000000000004</v>
      </c>
      <c r="E36" s="12">
        <f>SUM(E37:E46)</f>
        <v>1035789</v>
      </c>
      <c r="F36" s="10"/>
      <c r="G36" s="29">
        <f>SUM(G37:G46)</f>
        <v>42</v>
      </c>
      <c r="H36" s="29">
        <f t="shared" ref="H36:Y36" si="22">SUM(H37:H46)</f>
        <v>13023</v>
      </c>
      <c r="I36" s="29">
        <f t="shared" si="22"/>
        <v>463</v>
      </c>
      <c r="J36" s="29">
        <f t="shared" si="22"/>
        <v>37</v>
      </c>
      <c r="K36" s="29">
        <f t="shared" si="22"/>
        <v>47631</v>
      </c>
      <c r="L36" s="29">
        <f t="shared" si="22"/>
        <v>1163</v>
      </c>
      <c r="M36" s="29">
        <f t="shared" si="22"/>
        <v>24</v>
      </c>
      <c r="N36" s="29">
        <f t="shared" si="22"/>
        <v>39906</v>
      </c>
      <c r="O36" s="29">
        <f t="shared" si="22"/>
        <v>856</v>
      </c>
      <c r="P36" s="29">
        <f t="shared" si="22"/>
        <v>89</v>
      </c>
      <c r="Q36" s="29">
        <f t="shared" si="22"/>
        <v>116</v>
      </c>
      <c r="R36" s="29">
        <f t="shared" si="22"/>
        <v>15714</v>
      </c>
      <c r="S36" s="29">
        <f t="shared" si="22"/>
        <v>883</v>
      </c>
      <c r="T36" s="29">
        <f t="shared" si="22"/>
        <v>3</v>
      </c>
      <c r="U36" s="29">
        <f t="shared" si="22"/>
        <v>891</v>
      </c>
      <c r="V36" s="29">
        <f t="shared" si="22"/>
        <v>41</v>
      </c>
      <c r="W36" s="29">
        <f t="shared" si="22"/>
        <v>0</v>
      </c>
      <c r="X36" s="29">
        <f t="shared" si="22"/>
        <v>0</v>
      </c>
      <c r="Y36" s="29">
        <f t="shared" si="22"/>
        <v>0</v>
      </c>
    </row>
    <row r="37" spans="1:25" ht="16.8" x14ac:dyDescent="0.25">
      <c r="A37" s="14">
        <v>28</v>
      </c>
      <c r="B37" s="2" t="s">
        <v>109</v>
      </c>
      <c r="C37" s="2" t="s">
        <v>110</v>
      </c>
      <c r="D37" s="2">
        <v>3.37</v>
      </c>
      <c r="E37" s="7">
        <v>128865</v>
      </c>
      <c r="F37" s="2" t="s">
        <v>111</v>
      </c>
      <c r="G37" s="28">
        <v>6</v>
      </c>
      <c r="H37" s="28">
        <v>2211</v>
      </c>
      <c r="I37" s="28">
        <v>74</v>
      </c>
      <c r="J37" s="18">
        <v>5</v>
      </c>
      <c r="K37" s="18">
        <v>6725</v>
      </c>
      <c r="L37" s="18">
        <v>166</v>
      </c>
      <c r="M37" s="28">
        <v>4</v>
      </c>
      <c r="N37" s="28">
        <v>4980</v>
      </c>
      <c r="O37" s="28">
        <v>100</v>
      </c>
      <c r="P37" s="18">
        <v>6</v>
      </c>
      <c r="Q37" s="28">
        <v>9</v>
      </c>
      <c r="R37" s="18">
        <v>938</v>
      </c>
      <c r="S37" s="28">
        <v>58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</row>
    <row r="38" spans="1:25" ht="16.8" x14ac:dyDescent="0.25">
      <c r="A38" s="14">
        <v>29</v>
      </c>
      <c r="B38" s="2" t="s">
        <v>109</v>
      </c>
      <c r="C38" s="2" t="s">
        <v>112</v>
      </c>
      <c r="D38" s="2">
        <v>3.23</v>
      </c>
      <c r="E38" s="7">
        <v>111498</v>
      </c>
      <c r="F38" s="2" t="s">
        <v>113</v>
      </c>
      <c r="G38" s="28">
        <v>3</v>
      </c>
      <c r="H38" s="28">
        <v>1024</v>
      </c>
      <c r="I38" s="28">
        <v>31</v>
      </c>
      <c r="J38" s="18">
        <v>2</v>
      </c>
      <c r="K38" s="18">
        <v>3181</v>
      </c>
      <c r="L38" s="18">
        <v>65</v>
      </c>
      <c r="M38" s="28">
        <v>2</v>
      </c>
      <c r="N38" s="28">
        <v>4260</v>
      </c>
      <c r="O38" s="28">
        <v>86</v>
      </c>
      <c r="P38" s="18">
        <v>5</v>
      </c>
      <c r="Q38" s="28">
        <v>11</v>
      </c>
      <c r="R38" s="18">
        <v>859</v>
      </c>
      <c r="S38" s="28">
        <v>60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</row>
    <row r="39" spans="1:25" ht="16.8" x14ac:dyDescent="0.25">
      <c r="A39" s="14">
        <v>30</v>
      </c>
      <c r="B39" s="2" t="s">
        <v>109</v>
      </c>
      <c r="C39" s="2" t="s">
        <v>114</v>
      </c>
      <c r="D39" s="2">
        <v>2.81</v>
      </c>
      <c r="E39" s="7">
        <v>110850</v>
      </c>
      <c r="F39" s="2" t="s">
        <v>115</v>
      </c>
      <c r="G39" s="28">
        <v>3</v>
      </c>
      <c r="H39" s="28">
        <v>1337</v>
      </c>
      <c r="I39" s="28">
        <v>38</v>
      </c>
      <c r="J39" s="18">
        <v>2</v>
      </c>
      <c r="K39" s="18">
        <v>3336</v>
      </c>
      <c r="L39" s="18">
        <v>69</v>
      </c>
      <c r="M39" s="28">
        <v>1</v>
      </c>
      <c r="N39" s="28">
        <v>2234</v>
      </c>
      <c r="O39" s="28">
        <v>42</v>
      </c>
      <c r="P39" s="18">
        <v>11</v>
      </c>
      <c r="Q39" s="28">
        <v>13</v>
      </c>
      <c r="R39" s="18">
        <v>1368</v>
      </c>
      <c r="S39" s="28">
        <v>100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</row>
    <row r="40" spans="1:25" ht="16.8" x14ac:dyDescent="0.25">
      <c r="A40" s="14">
        <v>31</v>
      </c>
      <c r="B40" s="2" t="s">
        <v>109</v>
      </c>
      <c r="C40" s="2" t="s">
        <v>116</v>
      </c>
      <c r="D40" s="2">
        <v>3.29</v>
      </c>
      <c r="E40" s="7">
        <v>123681</v>
      </c>
      <c r="F40" s="2" t="s">
        <v>117</v>
      </c>
      <c r="G40" s="28">
        <v>5</v>
      </c>
      <c r="H40" s="28">
        <v>1427</v>
      </c>
      <c r="I40" s="28">
        <v>51</v>
      </c>
      <c r="J40" s="18">
        <v>4</v>
      </c>
      <c r="K40" s="18">
        <v>8100</v>
      </c>
      <c r="L40" s="18">
        <v>164</v>
      </c>
      <c r="M40" s="28">
        <v>3</v>
      </c>
      <c r="N40" s="28">
        <v>6247</v>
      </c>
      <c r="O40" s="28">
        <v>113</v>
      </c>
      <c r="P40" s="18">
        <v>15</v>
      </c>
      <c r="Q40" s="28">
        <v>7</v>
      </c>
      <c r="R40" s="18">
        <v>4459</v>
      </c>
      <c r="S40" s="28">
        <v>161</v>
      </c>
      <c r="T40" s="18">
        <v>2</v>
      </c>
      <c r="U40" s="18">
        <v>324</v>
      </c>
      <c r="V40" s="18">
        <v>17</v>
      </c>
      <c r="W40" s="18">
        <v>0</v>
      </c>
      <c r="X40" s="18">
        <v>0</v>
      </c>
      <c r="Y40" s="18">
        <v>0</v>
      </c>
    </row>
    <row r="41" spans="1:25" ht="16.8" x14ac:dyDescent="0.25">
      <c r="A41" s="14">
        <v>32</v>
      </c>
      <c r="B41" s="2" t="s">
        <v>109</v>
      </c>
      <c r="C41" s="2" t="s">
        <v>118</v>
      </c>
      <c r="D41" s="2">
        <v>3.24</v>
      </c>
      <c r="E41" s="7">
        <v>121192</v>
      </c>
      <c r="F41" s="2" t="s">
        <v>119</v>
      </c>
      <c r="G41" s="28">
        <v>3</v>
      </c>
      <c r="H41" s="28">
        <v>1614</v>
      </c>
      <c r="I41" s="28">
        <v>47</v>
      </c>
      <c r="J41" s="18">
        <v>6</v>
      </c>
      <c r="K41" s="18">
        <v>11103</v>
      </c>
      <c r="L41" s="18">
        <v>244</v>
      </c>
      <c r="M41" s="28">
        <v>3</v>
      </c>
      <c r="N41" s="28">
        <v>7473</v>
      </c>
      <c r="O41" s="28">
        <v>138</v>
      </c>
      <c r="P41" s="18">
        <v>13</v>
      </c>
      <c r="Q41" s="28">
        <v>26</v>
      </c>
      <c r="R41" s="18">
        <v>2184</v>
      </c>
      <c r="S41" s="28">
        <v>139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</row>
    <row r="42" spans="1:25" ht="16.8" x14ac:dyDescent="0.25">
      <c r="A42" s="14">
        <v>33</v>
      </c>
      <c r="B42" s="2" t="s">
        <v>109</v>
      </c>
      <c r="C42" s="2" t="s">
        <v>120</v>
      </c>
      <c r="D42" s="2">
        <v>3.81</v>
      </c>
      <c r="E42" s="7">
        <v>121004</v>
      </c>
      <c r="F42" s="2" t="s">
        <v>121</v>
      </c>
      <c r="G42" s="28">
        <v>2</v>
      </c>
      <c r="H42" s="28">
        <v>1021</v>
      </c>
      <c r="I42" s="28">
        <v>29</v>
      </c>
      <c r="J42" s="18">
        <v>2</v>
      </c>
      <c r="K42" s="18">
        <v>3677</v>
      </c>
      <c r="L42" s="18">
        <v>79</v>
      </c>
      <c r="M42" s="28">
        <v>2</v>
      </c>
      <c r="N42" s="28">
        <v>4192</v>
      </c>
      <c r="O42" s="28">
        <v>90</v>
      </c>
      <c r="P42" s="18">
        <v>6</v>
      </c>
      <c r="Q42" s="28">
        <v>33</v>
      </c>
      <c r="R42" s="18">
        <v>1887</v>
      </c>
      <c r="S42" s="28">
        <v>106</v>
      </c>
      <c r="T42" s="18">
        <v>1</v>
      </c>
      <c r="U42" s="18">
        <v>567</v>
      </c>
      <c r="V42" s="18">
        <v>24</v>
      </c>
      <c r="W42" s="18">
        <v>0</v>
      </c>
      <c r="X42" s="18">
        <v>0</v>
      </c>
      <c r="Y42" s="18">
        <v>0</v>
      </c>
    </row>
    <row r="43" spans="1:25" ht="33.6" x14ac:dyDescent="0.25">
      <c r="A43" s="14">
        <v>34</v>
      </c>
      <c r="B43" s="2" t="s">
        <v>122</v>
      </c>
      <c r="C43" s="2" t="s">
        <v>123</v>
      </c>
      <c r="D43" s="2">
        <v>2.17</v>
      </c>
      <c r="E43" s="7">
        <v>71495</v>
      </c>
      <c r="F43" s="2" t="s">
        <v>124</v>
      </c>
      <c r="G43" s="28">
        <v>5</v>
      </c>
      <c r="H43" s="28">
        <v>919</v>
      </c>
      <c r="I43" s="28">
        <v>37</v>
      </c>
      <c r="J43" s="18">
        <v>4</v>
      </c>
      <c r="K43" s="18">
        <v>3853</v>
      </c>
      <c r="L43" s="18">
        <v>110</v>
      </c>
      <c r="M43" s="28">
        <v>2</v>
      </c>
      <c r="N43" s="28">
        <v>2565</v>
      </c>
      <c r="O43" s="28">
        <v>73</v>
      </c>
      <c r="P43" s="18">
        <v>6</v>
      </c>
      <c r="Q43" s="28">
        <v>5</v>
      </c>
      <c r="R43" s="18">
        <v>958</v>
      </c>
      <c r="S43" s="28">
        <v>51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</row>
    <row r="44" spans="1:25" ht="33.6" x14ac:dyDescent="0.25">
      <c r="A44" s="14">
        <v>35</v>
      </c>
      <c r="B44" s="2" t="s">
        <v>122</v>
      </c>
      <c r="C44" s="2" t="s">
        <v>125</v>
      </c>
      <c r="D44" s="2">
        <v>1.23</v>
      </c>
      <c r="E44" s="7">
        <v>62663</v>
      </c>
      <c r="F44" s="2" t="s">
        <v>126</v>
      </c>
      <c r="G44" s="28">
        <v>4</v>
      </c>
      <c r="H44" s="28">
        <v>828</v>
      </c>
      <c r="I44" s="28">
        <v>35</v>
      </c>
      <c r="J44" s="18">
        <v>3</v>
      </c>
      <c r="K44" s="18">
        <v>2164</v>
      </c>
      <c r="L44" s="18">
        <v>77</v>
      </c>
      <c r="M44" s="28">
        <v>2</v>
      </c>
      <c r="N44" s="28">
        <v>1846</v>
      </c>
      <c r="O44" s="28">
        <v>47</v>
      </c>
      <c r="P44" s="18">
        <v>8</v>
      </c>
      <c r="Q44" s="28">
        <v>2</v>
      </c>
      <c r="R44" s="18">
        <v>618</v>
      </c>
      <c r="S44" s="28">
        <v>50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</row>
    <row r="45" spans="1:25" ht="50.4" x14ac:dyDescent="0.25">
      <c r="A45" s="14">
        <v>36</v>
      </c>
      <c r="B45" s="2" t="s">
        <v>122</v>
      </c>
      <c r="C45" s="2" t="s">
        <v>127</v>
      </c>
      <c r="D45" s="2">
        <v>1.46</v>
      </c>
      <c r="E45" s="7">
        <v>68420</v>
      </c>
      <c r="F45" s="2" t="s">
        <v>128</v>
      </c>
      <c r="G45" s="28">
        <v>6</v>
      </c>
      <c r="H45" s="28">
        <v>1212</v>
      </c>
      <c r="I45" s="28">
        <v>53</v>
      </c>
      <c r="J45" s="18">
        <v>5</v>
      </c>
      <c r="K45" s="18">
        <v>2703</v>
      </c>
      <c r="L45" s="18">
        <v>106</v>
      </c>
      <c r="M45" s="28">
        <v>2</v>
      </c>
      <c r="N45" s="28">
        <v>2664</v>
      </c>
      <c r="O45" s="28">
        <v>74</v>
      </c>
      <c r="P45" s="18">
        <v>10</v>
      </c>
      <c r="Q45" s="28">
        <v>3</v>
      </c>
      <c r="R45" s="18">
        <v>672</v>
      </c>
      <c r="S45" s="28">
        <v>56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</row>
    <row r="46" spans="1:25" ht="33.6" x14ac:dyDescent="0.25">
      <c r="A46" s="14">
        <v>37</v>
      </c>
      <c r="B46" s="2" t="s">
        <v>98</v>
      </c>
      <c r="C46" s="2" t="s">
        <v>103</v>
      </c>
      <c r="D46" s="2">
        <v>3.89</v>
      </c>
      <c r="E46" s="7">
        <v>116121</v>
      </c>
      <c r="F46" s="2" t="s">
        <v>104</v>
      </c>
      <c r="G46" s="31">
        <f>'[1]Binh Lợi Trung - 5-11-13'!$H$9</f>
        <v>5</v>
      </c>
      <c r="H46" s="31">
        <f>'[1]Binh Lợi Trung - 5-11-13'!$K$9</f>
        <v>1430</v>
      </c>
      <c r="I46" s="31">
        <f>'[1]Binh Lợi Trung - 5-11-13'!$V$9</f>
        <v>68</v>
      </c>
      <c r="J46" s="25">
        <f>'[1]Binh Lợi Trung - 5-11-13'!$G$35</f>
        <v>4</v>
      </c>
      <c r="K46" s="25">
        <f>'[1]Binh Lợi Trung - 5-11-13'!$J$35</f>
        <v>2789</v>
      </c>
      <c r="L46" s="25">
        <f>'[1]Binh Lợi Trung - 5-11-13'!$Z$35</f>
        <v>83</v>
      </c>
      <c r="M46" s="28">
        <f>'[1]Binh Lợi Trung - 5-11-13'!$G$43</f>
        <v>3</v>
      </c>
      <c r="N46" s="31">
        <f>'[1]Binh Lợi Trung - 5-11-13'!$J$43</f>
        <v>3445</v>
      </c>
      <c r="O46" s="31">
        <f>'[1]Binh Lợi Trung - 5-11-13'!$X$43</f>
        <v>93</v>
      </c>
      <c r="P46" s="26">
        <f>'[1]Binh Lợi Trung - 5-11-13'!$H$26</f>
        <v>9</v>
      </c>
      <c r="Q46" s="28">
        <f>'[1]Binh Lợi Trung - 5-11-13'!$A$25</f>
        <v>7</v>
      </c>
      <c r="R46" s="25">
        <f>'[1]Binh Lợi Trung - 5-11-13'!$K$26</f>
        <v>1771</v>
      </c>
      <c r="S46" s="31">
        <f>'[1]Binh Lợi Trung - 5-11-13'!$V$26</f>
        <v>102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</row>
    <row r="47" spans="1:25" ht="16.8" x14ac:dyDescent="0.25">
      <c r="A47" s="15"/>
      <c r="B47" s="10" t="s">
        <v>381</v>
      </c>
      <c r="C47" s="10">
        <v>12</v>
      </c>
      <c r="D47" s="10">
        <f>SUM(D48:D59)</f>
        <v>30.53</v>
      </c>
      <c r="E47" s="12">
        <f>SUM(E48:E59)</f>
        <v>996494</v>
      </c>
      <c r="F47" s="10"/>
      <c r="G47" s="37">
        <f>SUM(G48:G59)</f>
        <v>57</v>
      </c>
      <c r="H47" s="37">
        <f t="shared" ref="H47:Y47" si="23">SUM(H48:H59)</f>
        <v>58423</v>
      </c>
      <c r="I47" s="37">
        <f t="shared" si="23"/>
        <v>597</v>
      </c>
      <c r="J47" s="37">
        <f t="shared" si="23"/>
        <v>53</v>
      </c>
      <c r="K47" s="37">
        <f t="shared" si="23"/>
        <v>47285</v>
      </c>
      <c r="L47" s="37">
        <f t="shared" si="23"/>
        <v>1450</v>
      </c>
      <c r="M47" s="37">
        <f t="shared" si="23"/>
        <v>33</v>
      </c>
      <c r="N47" s="37">
        <f t="shared" si="23"/>
        <v>40566</v>
      </c>
      <c r="O47" s="37">
        <f t="shared" si="23"/>
        <v>1045</v>
      </c>
      <c r="P47" s="37">
        <f t="shared" si="23"/>
        <v>48</v>
      </c>
      <c r="Q47" s="37">
        <f t="shared" si="23"/>
        <v>65</v>
      </c>
      <c r="R47" s="37">
        <f t="shared" si="23"/>
        <v>9241</v>
      </c>
      <c r="S47" s="37">
        <f t="shared" si="23"/>
        <v>612</v>
      </c>
      <c r="T47" s="37">
        <f t="shared" si="23"/>
        <v>7</v>
      </c>
      <c r="U47" s="37">
        <f t="shared" si="23"/>
        <v>6715</v>
      </c>
      <c r="V47" s="37">
        <f t="shared" si="23"/>
        <v>305</v>
      </c>
      <c r="W47" s="37">
        <f t="shared" si="23"/>
        <v>7</v>
      </c>
      <c r="X47" s="37">
        <f t="shared" si="23"/>
        <v>5146</v>
      </c>
      <c r="Y47" s="37">
        <f t="shared" si="23"/>
        <v>211</v>
      </c>
    </row>
    <row r="48" spans="1:25" ht="33.6" x14ac:dyDescent="0.25">
      <c r="A48" s="14">
        <v>38</v>
      </c>
      <c r="B48" s="2" t="s">
        <v>98</v>
      </c>
      <c r="C48" s="2" t="s">
        <v>101</v>
      </c>
      <c r="D48" s="2">
        <v>3.32</v>
      </c>
      <c r="E48" s="7">
        <v>126300</v>
      </c>
      <c r="F48" s="2" t="s">
        <v>102</v>
      </c>
      <c r="G48" s="31">
        <f>'[1]Binh Thanh 12-14-16'!$H$9</f>
        <v>5</v>
      </c>
      <c r="H48" s="31">
        <f>'[1]Binh Thanh 12-14-16'!$K$9</f>
        <v>1682</v>
      </c>
      <c r="I48" s="31">
        <f>'[1]Binh Thanh 12-14-16'!$V$9</f>
        <v>67</v>
      </c>
      <c r="J48" s="25">
        <f>'[1]Binh Thanh 12-14-16'!$G$47</f>
        <v>6</v>
      </c>
      <c r="K48" s="25">
        <f>'[1]Binh Thanh 12-14-16'!$J$47</f>
        <v>7526</v>
      </c>
      <c r="L48" s="25">
        <f>'[1]Binh Thanh 12-14-16'!$Z$47</f>
        <v>193</v>
      </c>
      <c r="M48" s="28">
        <f>'[1]Binh Thanh 12-14-16'!$G$56</f>
        <v>2</v>
      </c>
      <c r="N48" s="31">
        <f>'[1]Binh Thanh 12-14-16'!$J$56</f>
        <v>3630</v>
      </c>
      <c r="O48" s="31">
        <f>'[1]Binh Thanh 12-14-16'!$X$56</f>
        <v>87</v>
      </c>
      <c r="P48" s="26">
        <f>7</f>
        <v>7</v>
      </c>
      <c r="Q48" s="28">
        <v>19</v>
      </c>
      <c r="R48" s="25">
        <f>'[1]Binh Thanh 12-14-16'!$K$36</f>
        <v>1483</v>
      </c>
      <c r="S48" s="31">
        <f>'[1]Binh Thanh 12-14-16'!$V$36</f>
        <v>119</v>
      </c>
      <c r="T48" s="26">
        <v>1</v>
      </c>
      <c r="U48" s="26">
        <v>43</v>
      </c>
      <c r="V48" s="26">
        <v>5</v>
      </c>
      <c r="W48" s="26">
        <v>0</v>
      </c>
      <c r="X48" s="26">
        <v>0</v>
      </c>
      <c r="Y48" s="26">
        <v>0</v>
      </c>
    </row>
    <row r="49" spans="1:25" ht="33.6" x14ac:dyDescent="0.25">
      <c r="A49" s="14">
        <v>39</v>
      </c>
      <c r="B49" s="2" t="s">
        <v>98</v>
      </c>
      <c r="C49" s="2" t="s">
        <v>99</v>
      </c>
      <c r="D49" s="2">
        <v>2.76</v>
      </c>
      <c r="E49" s="7">
        <v>125946</v>
      </c>
      <c r="F49" s="2" t="s">
        <v>100</v>
      </c>
      <c r="G49" s="31">
        <f>'[1]Gia Dinh 1-2-7-17'!$H$12</f>
        <v>8</v>
      </c>
      <c r="H49" s="31">
        <f>'[1]Gia Dinh 1-2-7-17'!$K$12</f>
        <v>1745</v>
      </c>
      <c r="I49" s="31">
        <f>'[1]Gia Dinh 1-2-7-17'!$V$12</f>
        <v>90</v>
      </c>
      <c r="J49" s="25">
        <f>'[1]Gia Dinh 1-2-7-17'!$G$39</f>
        <v>6</v>
      </c>
      <c r="K49" s="25">
        <f>'[1]Gia Dinh 1-2-7-17'!$J$39</f>
        <v>6176</v>
      </c>
      <c r="L49" s="25">
        <f>'[1]Gia Dinh 1-2-7-17'!$Z$39</f>
        <v>178</v>
      </c>
      <c r="M49" s="28">
        <f>'[1]Gia Dinh 1-2-7-17'!$G$50</f>
        <v>4</v>
      </c>
      <c r="N49" s="31">
        <f>'[1]Gia Dinh 1-2-7-17'!$J$50</f>
        <v>6917</v>
      </c>
      <c r="O49" s="31">
        <f>'[1]Gia Dinh 1-2-7-17'!$X$50</f>
        <v>158</v>
      </c>
      <c r="P49" s="26">
        <f>'[1]Gia Dinh 1-2-7-17'!$H$28</f>
        <v>7</v>
      </c>
      <c r="Q49" s="28">
        <v>8</v>
      </c>
      <c r="R49" s="25">
        <f>'[1]Gia Dinh 1-2-7-17'!$K$28</f>
        <v>1012</v>
      </c>
      <c r="S49" s="31">
        <f>'[1]Gia Dinh 1-2-7-17'!$V$28</f>
        <v>73</v>
      </c>
      <c r="T49" s="26">
        <v>1</v>
      </c>
      <c r="U49" s="25">
        <f>'[1]Gia Dinh 1-2-7-17'!$J$41</f>
        <v>92</v>
      </c>
      <c r="V49" s="26">
        <v>7</v>
      </c>
      <c r="W49" s="26">
        <v>0</v>
      </c>
      <c r="X49" s="26">
        <v>0</v>
      </c>
      <c r="Y49" s="26">
        <v>0</v>
      </c>
    </row>
    <row r="50" spans="1:25" ht="33.6" x14ac:dyDescent="0.25">
      <c r="A50" s="14">
        <v>40</v>
      </c>
      <c r="B50" s="2" t="s">
        <v>98</v>
      </c>
      <c r="C50" s="2" t="s">
        <v>105</v>
      </c>
      <c r="D50" s="2">
        <v>4.4000000000000004</v>
      </c>
      <c r="E50" s="7">
        <v>153216</v>
      </c>
      <c r="F50" s="2" t="s">
        <v>106</v>
      </c>
      <c r="G50" s="31">
        <f>'[1]TMT 19-22-25'!$H$10</f>
        <v>6</v>
      </c>
      <c r="H50" s="31">
        <f>'[1]TMT 19-22-25'!$K$10</f>
        <v>1117</v>
      </c>
      <c r="I50" s="31">
        <f>'[1]TMT 19-22-25'!$V$10</f>
        <v>58</v>
      </c>
      <c r="J50" s="25">
        <f>'[1]TMT 19-22-25'!$G$43</f>
        <v>5</v>
      </c>
      <c r="K50" s="25">
        <f>'[1]TMT 19-22-25'!$J$43</f>
        <v>4917</v>
      </c>
      <c r="L50" s="25">
        <f>'[1]TMT 19-22-25'!$Z$43</f>
        <v>138</v>
      </c>
      <c r="M50" s="31">
        <f>'[1]TMT 19-22-25'!$G$55</f>
        <v>3</v>
      </c>
      <c r="N50" s="31">
        <f>'[1]TMT 19-22-25'!$J$55</f>
        <v>3839</v>
      </c>
      <c r="O50" s="31">
        <f>'[1]TMT 19-22-25'!$X$55</f>
        <v>91</v>
      </c>
      <c r="P50" s="26">
        <f>'[1]TMT 19-22-25'!$A$17</f>
        <v>7</v>
      </c>
      <c r="Q50" s="28">
        <f>'[1]TMT 19-22-25'!$A$32</f>
        <v>15</v>
      </c>
      <c r="R50" s="25">
        <f>'[1]TMT 19-22-25'!$K$33</f>
        <v>2219</v>
      </c>
      <c r="S50" s="31">
        <f>'[1]TMT 19-22-25'!$V$33</f>
        <v>141</v>
      </c>
      <c r="T50" s="26">
        <f>'[1]TMT 19-22-25'!$A$46</f>
        <v>3</v>
      </c>
      <c r="U50" s="25">
        <f>'[1]TMT 19-22-25'!$J$47</f>
        <v>5545</v>
      </c>
      <c r="V50" s="25">
        <f>'[1]TMT 19-22-25'!$Z$47</f>
        <v>211</v>
      </c>
      <c r="W50" s="26">
        <f>'[1]TMT 19-22-25'!$A$58</f>
        <v>3</v>
      </c>
      <c r="X50" s="25">
        <f>'[1]TMT 19-22-25'!$J$59</f>
        <v>3920</v>
      </c>
      <c r="Y50" s="25">
        <f>'[1]TMT 19-22-25'!$X$59</f>
        <v>149</v>
      </c>
    </row>
    <row r="51" spans="1:25" ht="33.6" x14ac:dyDescent="0.25">
      <c r="A51" s="14">
        <v>41</v>
      </c>
      <c r="B51" s="2" t="s">
        <v>98</v>
      </c>
      <c r="C51" s="2" t="s">
        <v>107</v>
      </c>
      <c r="D51" s="2">
        <v>6.34</v>
      </c>
      <c r="E51" s="7">
        <v>46200</v>
      </c>
      <c r="F51" s="2" t="s">
        <v>108</v>
      </c>
      <c r="G51" s="28">
        <f>[1]BQT!$G$6</f>
        <v>2</v>
      </c>
      <c r="H51" s="31">
        <f>[1]BQT!$K$6</f>
        <v>597</v>
      </c>
      <c r="I51" s="31">
        <f>[1]BQT!$V$6</f>
        <v>23</v>
      </c>
      <c r="J51" s="26">
        <f>[1]BQT!$G$21</f>
        <v>2</v>
      </c>
      <c r="K51" s="25">
        <f>[1]BQT!$J$21</f>
        <v>2348</v>
      </c>
      <c r="L51" s="25">
        <f>[1]BQT!$Z$21</f>
        <v>69</v>
      </c>
      <c r="M51" s="28">
        <f>[1]BQT!$G$29</f>
        <v>3</v>
      </c>
      <c r="N51" s="31">
        <f>[1]BQT!$J$29</f>
        <v>2334</v>
      </c>
      <c r="O51" s="31">
        <f>[1]BQT!$X$29</f>
        <v>66</v>
      </c>
      <c r="P51" s="26">
        <f>[1]BQT!$H$14</f>
        <v>4</v>
      </c>
      <c r="Q51" s="28">
        <f>[1]BQT!$A$13</f>
        <v>3</v>
      </c>
      <c r="R51" s="25">
        <f>[1]BQT!$K$14</f>
        <v>530</v>
      </c>
      <c r="S51" s="31">
        <f>[1]BQT!$V$14</f>
        <v>31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</row>
    <row r="52" spans="1:25" ht="50.4" x14ac:dyDescent="0.25">
      <c r="A52" s="14">
        <v>42</v>
      </c>
      <c r="B52" s="2" t="s">
        <v>5</v>
      </c>
      <c r="C52" s="2" t="s">
        <v>6</v>
      </c>
      <c r="D52" s="2">
        <v>3.04</v>
      </c>
      <c r="E52" s="7">
        <v>47022</v>
      </c>
      <c r="F52" s="2" t="s">
        <v>7</v>
      </c>
      <c r="G52" s="28">
        <v>3</v>
      </c>
      <c r="H52" s="28">
        <v>631</v>
      </c>
      <c r="I52" s="28">
        <v>34</v>
      </c>
      <c r="J52" s="18">
        <v>2</v>
      </c>
      <c r="K52" s="18">
        <v>2198</v>
      </c>
      <c r="L52" s="18">
        <v>67</v>
      </c>
      <c r="M52" s="28">
        <v>1</v>
      </c>
      <c r="N52" s="28">
        <v>1345</v>
      </c>
      <c r="O52" s="28">
        <v>38</v>
      </c>
      <c r="P52" s="18">
        <v>2</v>
      </c>
      <c r="Q52" s="28">
        <v>0</v>
      </c>
      <c r="R52" s="18">
        <v>998</v>
      </c>
      <c r="S52" s="28">
        <v>33</v>
      </c>
      <c r="T52" s="18">
        <v>0</v>
      </c>
      <c r="U52" s="18">
        <v>819</v>
      </c>
      <c r="V52" s="18">
        <v>33</v>
      </c>
      <c r="W52" s="18">
        <v>1</v>
      </c>
      <c r="X52" s="18">
        <v>654</v>
      </c>
      <c r="Y52" s="18">
        <v>29</v>
      </c>
    </row>
    <row r="53" spans="1:25" ht="33.6" x14ac:dyDescent="0.25">
      <c r="A53" s="14">
        <v>43</v>
      </c>
      <c r="B53" s="2" t="s">
        <v>5</v>
      </c>
      <c r="C53" s="2" t="s">
        <v>8</v>
      </c>
      <c r="D53" s="2">
        <v>1.23</v>
      </c>
      <c r="E53" s="7">
        <v>48524</v>
      </c>
      <c r="F53" s="2" t="s">
        <v>9</v>
      </c>
      <c r="G53" s="28">
        <v>3</v>
      </c>
      <c r="H53" s="28">
        <v>600</v>
      </c>
      <c r="I53" s="28">
        <v>31</v>
      </c>
      <c r="J53" s="18">
        <v>4</v>
      </c>
      <c r="K53" s="18">
        <v>2220</v>
      </c>
      <c r="L53" s="18">
        <v>85</v>
      </c>
      <c r="M53" s="28">
        <v>3</v>
      </c>
      <c r="N53" s="28">
        <v>3316</v>
      </c>
      <c r="O53" s="28">
        <v>96</v>
      </c>
      <c r="P53" s="18">
        <v>1</v>
      </c>
      <c r="Q53" s="28">
        <v>5</v>
      </c>
      <c r="R53" s="18">
        <v>254</v>
      </c>
      <c r="S53" s="28">
        <v>26</v>
      </c>
      <c r="T53" s="18">
        <v>0</v>
      </c>
      <c r="U53" s="18">
        <v>113</v>
      </c>
      <c r="V53" s="18">
        <v>34</v>
      </c>
      <c r="W53" s="18">
        <v>1</v>
      </c>
      <c r="X53" s="18">
        <v>137</v>
      </c>
      <c r="Y53" s="18">
        <v>14</v>
      </c>
    </row>
    <row r="54" spans="1:25" ht="67.2" x14ac:dyDescent="0.25">
      <c r="A54" s="14">
        <v>44</v>
      </c>
      <c r="B54" s="2" t="s">
        <v>5</v>
      </c>
      <c r="C54" s="2" t="s">
        <v>10</v>
      </c>
      <c r="D54" s="2">
        <v>1.85</v>
      </c>
      <c r="E54" s="7">
        <v>71875</v>
      </c>
      <c r="F54" s="2" t="s">
        <v>11</v>
      </c>
      <c r="G54" s="28">
        <v>5</v>
      </c>
      <c r="H54" s="28">
        <v>1083</v>
      </c>
      <c r="I54" s="28">
        <v>52</v>
      </c>
      <c r="J54" s="18">
        <v>6</v>
      </c>
      <c r="K54" s="18">
        <v>4427</v>
      </c>
      <c r="L54" s="18">
        <v>165</v>
      </c>
      <c r="M54" s="28">
        <v>2</v>
      </c>
      <c r="N54" s="28">
        <v>2011</v>
      </c>
      <c r="O54" s="28">
        <v>58</v>
      </c>
      <c r="P54" s="18">
        <v>0</v>
      </c>
      <c r="Q54" s="28">
        <v>2</v>
      </c>
      <c r="R54" s="18">
        <v>119</v>
      </c>
      <c r="S54" s="28">
        <v>6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</row>
    <row r="55" spans="1:25" ht="50.4" x14ac:dyDescent="0.25">
      <c r="A55" s="14">
        <v>45</v>
      </c>
      <c r="B55" s="2" t="s">
        <v>5</v>
      </c>
      <c r="C55" s="2" t="s">
        <v>12</v>
      </c>
      <c r="D55" s="2">
        <v>1.6</v>
      </c>
      <c r="E55" s="7">
        <v>78734</v>
      </c>
      <c r="F55" s="2" t="s">
        <v>13</v>
      </c>
      <c r="G55" s="28">
        <v>4</v>
      </c>
      <c r="H55" s="28">
        <v>907</v>
      </c>
      <c r="I55" s="28">
        <v>42</v>
      </c>
      <c r="J55" s="18">
        <v>4</v>
      </c>
      <c r="K55" s="18">
        <v>3388</v>
      </c>
      <c r="L55" s="18">
        <v>107</v>
      </c>
      <c r="M55" s="28">
        <v>3</v>
      </c>
      <c r="N55" s="28">
        <v>3500</v>
      </c>
      <c r="O55" s="28">
        <v>94</v>
      </c>
      <c r="P55" s="18">
        <v>0</v>
      </c>
      <c r="Q55" s="28">
        <v>1</v>
      </c>
      <c r="R55" s="18">
        <v>44</v>
      </c>
      <c r="S55" s="28">
        <v>3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</row>
    <row r="56" spans="1:25" ht="50.4" x14ac:dyDescent="0.25">
      <c r="A56" s="14">
        <v>46</v>
      </c>
      <c r="B56" s="2" t="s">
        <v>14</v>
      </c>
      <c r="C56" s="2" t="s">
        <v>15</v>
      </c>
      <c r="D56" s="2">
        <v>0.99</v>
      </c>
      <c r="E56" s="7">
        <v>67616</v>
      </c>
      <c r="F56" s="2" t="s">
        <v>16</v>
      </c>
      <c r="G56" s="4">
        <v>5</v>
      </c>
      <c r="H56" s="4">
        <v>956</v>
      </c>
      <c r="I56" s="4">
        <v>51</v>
      </c>
      <c r="J56" s="2">
        <v>5</v>
      </c>
      <c r="K56" s="2">
        <v>4236</v>
      </c>
      <c r="L56" s="2">
        <v>130</v>
      </c>
      <c r="M56" s="4">
        <v>4</v>
      </c>
      <c r="N56" s="4">
        <v>2722</v>
      </c>
      <c r="O56" s="4">
        <v>93</v>
      </c>
      <c r="P56" s="2">
        <v>0</v>
      </c>
      <c r="Q56" s="4">
        <v>2</v>
      </c>
      <c r="R56" s="2">
        <v>63</v>
      </c>
      <c r="S56" s="4">
        <v>9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ht="33.6" x14ac:dyDescent="0.25">
      <c r="A57" s="14">
        <v>47</v>
      </c>
      <c r="B57" s="2" t="s">
        <v>14</v>
      </c>
      <c r="C57" s="2" t="s">
        <v>17</v>
      </c>
      <c r="D57" s="2">
        <v>2.2200000000000002</v>
      </c>
      <c r="E57" s="7">
        <v>48464</v>
      </c>
      <c r="F57" s="2" t="s">
        <v>18</v>
      </c>
      <c r="G57" s="4">
        <v>7</v>
      </c>
      <c r="H57" s="4">
        <v>1616</v>
      </c>
      <c r="I57" s="4">
        <v>74</v>
      </c>
      <c r="J57" s="2">
        <v>5</v>
      </c>
      <c r="K57" s="2">
        <v>4320</v>
      </c>
      <c r="L57" s="2">
        <v>129</v>
      </c>
      <c r="M57" s="4">
        <v>4</v>
      </c>
      <c r="N57" s="4">
        <v>6630</v>
      </c>
      <c r="O57" s="4">
        <v>144</v>
      </c>
      <c r="P57" s="2">
        <v>12</v>
      </c>
      <c r="Q57" s="4">
        <v>2</v>
      </c>
      <c r="R57" s="2">
        <v>1323</v>
      </c>
      <c r="S57" s="4">
        <v>90</v>
      </c>
      <c r="T57" s="2">
        <v>2</v>
      </c>
      <c r="U57" s="2">
        <v>103</v>
      </c>
      <c r="V57" s="2">
        <v>15</v>
      </c>
      <c r="W57" s="2">
        <v>2</v>
      </c>
      <c r="X57" s="2">
        <v>435</v>
      </c>
      <c r="Y57" s="2">
        <v>19</v>
      </c>
    </row>
    <row r="58" spans="1:25" ht="33.6" x14ac:dyDescent="0.25">
      <c r="A58" s="14">
        <v>48</v>
      </c>
      <c r="B58" s="2" t="s">
        <v>14</v>
      </c>
      <c r="C58" s="2" t="s">
        <v>19</v>
      </c>
      <c r="D58" s="2">
        <v>1.71</v>
      </c>
      <c r="E58" s="7">
        <v>88090</v>
      </c>
      <c r="F58" s="2" t="s">
        <v>20</v>
      </c>
      <c r="G58" s="4">
        <v>6</v>
      </c>
      <c r="H58" s="4">
        <v>46831</v>
      </c>
      <c r="I58" s="4">
        <v>46</v>
      </c>
      <c r="J58" s="2">
        <v>6</v>
      </c>
      <c r="K58" s="2">
        <v>4015</v>
      </c>
      <c r="L58" s="2">
        <v>144</v>
      </c>
      <c r="M58" s="4">
        <v>3</v>
      </c>
      <c r="N58" s="4">
        <v>2875</v>
      </c>
      <c r="O58" s="4">
        <v>84</v>
      </c>
      <c r="P58" s="2">
        <v>7</v>
      </c>
      <c r="Q58" s="4">
        <v>5</v>
      </c>
      <c r="R58" s="2">
        <v>926</v>
      </c>
      <c r="S58" s="4">
        <v>66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ht="67.2" x14ac:dyDescent="0.25">
      <c r="A59" s="14">
        <v>49</v>
      </c>
      <c r="B59" s="2" t="s">
        <v>21</v>
      </c>
      <c r="C59" s="2" t="s">
        <v>24</v>
      </c>
      <c r="D59" s="2">
        <v>1.07</v>
      </c>
      <c r="E59" s="7">
        <v>94507</v>
      </c>
      <c r="F59" s="2" t="s">
        <v>25</v>
      </c>
      <c r="G59" s="28">
        <v>3</v>
      </c>
      <c r="H59" s="28">
        <v>658</v>
      </c>
      <c r="I59" s="28">
        <v>29</v>
      </c>
      <c r="J59" s="18">
        <v>2</v>
      </c>
      <c r="K59" s="18">
        <v>1514</v>
      </c>
      <c r="L59" s="18">
        <v>45</v>
      </c>
      <c r="M59" s="28">
        <v>1</v>
      </c>
      <c r="N59" s="28">
        <v>1447</v>
      </c>
      <c r="O59" s="28">
        <v>36</v>
      </c>
      <c r="P59" s="18">
        <v>1</v>
      </c>
      <c r="Q59" s="28">
        <v>3</v>
      </c>
      <c r="R59" s="18">
        <v>270</v>
      </c>
      <c r="S59" s="28">
        <v>15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</row>
    <row r="60" spans="1:25" ht="16.8" x14ac:dyDescent="0.25">
      <c r="A60" s="15"/>
      <c r="B60" s="10" t="s">
        <v>392</v>
      </c>
      <c r="C60" s="10">
        <v>12</v>
      </c>
      <c r="D60" s="10">
        <f>SUM(D61:D72)</f>
        <v>17.8</v>
      </c>
      <c r="E60" s="12">
        <f>SUM(E61:E72)</f>
        <v>962749</v>
      </c>
      <c r="F60" s="10"/>
      <c r="G60" s="29">
        <f>SUM(G61:G72)</f>
        <v>62</v>
      </c>
      <c r="H60" s="29">
        <f t="shared" ref="H60:Y60" si="24">SUM(H61:H72)</f>
        <v>17624</v>
      </c>
      <c r="I60" s="29">
        <f t="shared" si="24"/>
        <v>790</v>
      </c>
      <c r="J60" s="29">
        <f t="shared" si="24"/>
        <v>60</v>
      </c>
      <c r="K60" s="29">
        <f t="shared" si="24"/>
        <v>42316</v>
      </c>
      <c r="L60" s="29">
        <f t="shared" si="24"/>
        <v>1384</v>
      </c>
      <c r="M60" s="29">
        <f t="shared" si="24"/>
        <v>30</v>
      </c>
      <c r="N60" s="29">
        <f t="shared" si="24"/>
        <v>38916</v>
      </c>
      <c r="O60" s="29">
        <f t="shared" si="24"/>
        <v>986</v>
      </c>
      <c r="P60" s="29">
        <f t="shared" si="24"/>
        <v>60</v>
      </c>
      <c r="Q60" s="29">
        <f t="shared" si="24"/>
        <v>143</v>
      </c>
      <c r="R60" s="29">
        <f t="shared" si="24"/>
        <v>6941</v>
      </c>
      <c r="S60" s="29">
        <f t="shared" si="24"/>
        <v>367</v>
      </c>
      <c r="T60" s="29">
        <f t="shared" si="24"/>
        <v>7</v>
      </c>
      <c r="U60" s="29">
        <f t="shared" si="24"/>
        <v>1878</v>
      </c>
      <c r="V60" s="29">
        <f t="shared" si="24"/>
        <v>117</v>
      </c>
      <c r="W60" s="29">
        <f t="shared" si="24"/>
        <v>7</v>
      </c>
      <c r="X60" s="29">
        <f t="shared" si="24"/>
        <v>2100</v>
      </c>
      <c r="Y60" s="29">
        <f t="shared" si="24"/>
        <v>119</v>
      </c>
    </row>
    <row r="61" spans="1:25" ht="16.8" x14ac:dyDescent="0.25">
      <c r="A61" s="14">
        <v>50</v>
      </c>
      <c r="B61" s="2" t="s">
        <v>28</v>
      </c>
      <c r="C61" s="2" t="s">
        <v>29</v>
      </c>
      <c r="D61" s="2">
        <v>1.28</v>
      </c>
      <c r="E61" s="7">
        <v>63545</v>
      </c>
      <c r="F61" s="2" t="s">
        <v>30</v>
      </c>
      <c r="G61" s="28">
        <v>5</v>
      </c>
      <c r="H61" s="28">
        <v>1582</v>
      </c>
      <c r="I61" s="28">
        <v>55</v>
      </c>
      <c r="J61" s="18">
        <v>4</v>
      </c>
      <c r="K61" s="18">
        <v>3197</v>
      </c>
      <c r="L61" s="18">
        <v>99</v>
      </c>
      <c r="M61" s="28">
        <v>1</v>
      </c>
      <c r="N61" s="28">
        <v>1661</v>
      </c>
      <c r="O61" s="28">
        <v>41</v>
      </c>
      <c r="P61" s="18">
        <v>1</v>
      </c>
      <c r="Q61" s="28">
        <v>1</v>
      </c>
      <c r="R61" s="18">
        <v>609</v>
      </c>
      <c r="S61" s="28">
        <v>22</v>
      </c>
      <c r="T61" s="18">
        <v>1</v>
      </c>
      <c r="U61" s="18">
        <v>338</v>
      </c>
      <c r="V61" s="18">
        <v>17</v>
      </c>
      <c r="W61" s="18">
        <v>0</v>
      </c>
      <c r="X61" s="18">
        <v>0</v>
      </c>
      <c r="Y61" s="18">
        <v>0</v>
      </c>
    </row>
    <row r="62" spans="1:25" ht="16.8" x14ac:dyDescent="0.25">
      <c r="A62" s="14">
        <v>51</v>
      </c>
      <c r="B62" s="2" t="s">
        <v>28</v>
      </c>
      <c r="C62" s="2" t="s">
        <v>31</v>
      </c>
      <c r="D62" s="2">
        <v>1.32</v>
      </c>
      <c r="E62" s="7">
        <v>81229</v>
      </c>
      <c r="F62" s="2" t="s">
        <v>32</v>
      </c>
      <c r="G62" s="28">
        <v>4</v>
      </c>
      <c r="H62" s="28">
        <v>1110</v>
      </c>
      <c r="I62" s="28">
        <v>46</v>
      </c>
      <c r="J62" s="18">
        <v>5</v>
      </c>
      <c r="K62" s="18">
        <v>2949</v>
      </c>
      <c r="L62" s="18">
        <v>97</v>
      </c>
      <c r="M62" s="28">
        <v>2</v>
      </c>
      <c r="N62" s="28">
        <v>3339</v>
      </c>
      <c r="O62" s="28">
        <v>80</v>
      </c>
      <c r="P62" s="18">
        <v>2</v>
      </c>
      <c r="Q62" s="28">
        <v>2</v>
      </c>
      <c r="R62" s="18">
        <v>148</v>
      </c>
      <c r="S62" s="28">
        <v>16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</row>
    <row r="63" spans="1:25" ht="33.6" x14ac:dyDescent="0.25">
      <c r="A63" s="14">
        <v>52</v>
      </c>
      <c r="B63" s="2" t="s">
        <v>28</v>
      </c>
      <c r="C63" s="2" t="s">
        <v>33</v>
      </c>
      <c r="D63" s="2">
        <v>1.67</v>
      </c>
      <c r="E63" s="7">
        <v>85066</v>
      </c>
      <c r="F63" s="2" t="s">
        <v>34</v>
      </c>
      <c r="G63" s="28">
        <v>7</v>
      </c>
      <c r="H63" s="28">
        <v>1830</v>
      </c>
      <c r="I63" s="28">
        <v>80</v>
      </c>
      <c r="J63" s="18">
        <v>7</v>
      </c>
      <c r="K63" s="18">
        <v>6301</v>
      </c>
      <c r="L63" s="18">
        <v>205</v>
      </c>
      <c r="M63" s="28">
        <v>3</v>
      </c>
      <c r="N63" s="28">
        <v>6448</v>
      </c>
      <c r="O63" s="28">
        <v>158</v>
      </c>
      <c r="P63" s="18">
        <v>5</v>
      </c>
      <c r="Q63" s="28">
        <v>1</v>
      </c>
      <c r="R63" s="18">
        <v>460</v>
      </c>
      <c r="S63" s="28">
        <v>30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</row>
    <row r="64" spans="1:25" ht="33.6" x14ac:dyDescent="0.25">
      <c r="A64" s="14">
        <v>53</v>
      </c>
      <c r="B64" s="2" t="s">
        <v>60</v>
      </c>
      <c r="C64" s="2" t="s">
        <v>61</v>
      </c>
      <c r="D64" s="2">
        <v>1.86</v>
      </c>
      <c r="E64" s="7">
        <v>75633</v>
      </c>
      <c r="F64" s="2" t="s">
        <v>62</v>
      </c>
      <c r="G64" s="28">
        <f>[2]Sheet1!$C$17</f>
        <v>7</v>
      </c>
      <c r="H64" s="38">
        <f>[2]Sheet1!$F$17</f>
        <v>1441</v>
      </c>
      <c r="I64" s="28">
        <f>[3]Sheet1!$AA$19</f>
        <v>117</v>
      </c>
      <c r="J64" s="28">
        <f>[3]Sheet1!$C$19</f>
        <v>5</v>
      </c>
      <c r="K64" s="34">
        <f>[3]Sheet1!$F$19</f>
        <v>3708</v>
      </c>
      <c r="L64" s="28">
        <f>[3]Sheet1!$AA$19</f>
        <v>117</v>
      </c>
      <c r="M64" s="28">
        <v>3</v>
      </c>
      <c r="N64" s="34">
        <v>2926</v>
      </c>
      <c r="O64" s="28">
        <v>102</v>
      </c>
      <c r="P64" s="28">
        <f>[4]Sheet1!$C$11</f>
        <v>7</v>
      </c>
      <c r="Q64" s="28">
        <v>1</v>
      </c>
      <c r="R64" s="34">
        <f>[4]Sheet1!$F$11</f>
        <v>1014</v>
      </c>
      <c r="S64" s="28">
        <f>[4]Sheet1!$Y$11</f>
        <v>61</v>
      </c>
      <c r="T64" s="28">
        <v>0</v>
      </c>
      <c r="U64" s="28">
        <v>0</v>
      </c>
      <c r="V64" s="28">
        <v>0</v>
      </c>
      <c r="W64" s="28">
        <v>1</v>
      </c>
      <c r="X64" s="28">
        <v>760</v>
      </c>
      <c r="Y64" s="28">
        <v>40</v>
      </c>
    </row>
    <row r="65" spans="1:25" ht="33.6" x14ac:dyDescent="0.25">
      <c r="A65" s="14">
        <v>54</v>
      </c>
      <c r="B65" s="2" t="s">
        <v>60</v>
      </c>
      <c r="C65" s="2" t="s">
        <v>63</v>
      </c>
      <c r="D65" s="2">
        <v>1.28</v>
      </c>
      <c r="E65" s="7">
        <v>104076</v>
      </c>
      <c r="F65" s="2" t="s">
        <v>64</v>
      </c>
      <c r="G65" s="28">
        <f>[2]Sheet1!$C$25</f>
        <v>7</v>
      </c>
      <c r="H65" s="38">
        <v>1233</v>
      </c>
      <c r="I65" s="28">
        <f>[3]Sheet1!$AA$12</f>
        <v>108</v>
      </c>
      <c r="J65" s="28">
        <f>[3]Sheet1!$C$12</f>
        <v>6</v>
      </c>
      <c r="K65" s="34">
        <f>[3]Sheet1!$F$12</f>
        <v>2822</v>
      </c>
      <c r="L65" s="28">
        <f>[3]Sheet1!$AA$12</f>
        <v>108</v>
      </c>
      <c r="M65" s="28">
        <v>2</v>
      </c>
      <c r="N65" s="34">
        <v>2429</v>
      </c>
      <c r="O65" s="28">
        <v>61</v>
      </c>
      <c r="P65" s="28">
        <f>[4]Sheet1!$C$36</f>
        <v>2</v>
      </c>
      <c r="Q65" s="28">
        <v>2</v>
      </c>
      <c r="R65" s="34">
        <f>[4]Sheet1!$F$36</f>
        <v>262</v>
      </c>
      <c r="S65" s="28">
        <f>[4]Sheet1!$Z$36</f>
        <v>17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</row>
    <row r="66" spans="1:25" ht="33.6" x14ac:dyDescent="0.25">
      <c r="A66" s="14">
        <v>55</v>
      </c>
      <c r="B66" s="2" t="s">
        <v>60</v>
      </c>
      <c r="C66" s="2" t="s">
        <v>65</v>
      </c>
      <c r="D66" s="2">
        <v>2.59</v>
      </c>
      <c r="E66" s="7">
        <v>96414</v>
      </c>
      <c r="F66" s="2" t="s">
        <v>66</v>
      </c>
      <c r="G66" s="28">
        <f>[2]Sheet1!$C$11</f>
        <v>5</v>
      </c>
      <c r="H66" s="38">
        <f>[2]Sheet1!$F$11</f>
        <v>1578</v>
      </c>
      <c r="I66" s="28">
        <f>[3]Sheet1!$AA$25</f>
        <v>123</v>
      </c>
      <c r="J66" s="28">
        <f>[3]Sheet1!$C$25</f>
        <v>5</v>
      </c>
      <c r="K66" s="34">
        <f>[3]Sheet1!$F$25</f>
        <v>3666</v>
      </c>
      <c r="L66" s="28">
        <f>[3]Sheet1!$AA$25</f>
        <v>123</v>
      </c>
      <c r="M66" s="28">
        <v>4</v>
      </c>
      <c r="N66" s="34">
        <v>3546</v>
      </c>
      <c r="O66" s="28">
        <v>90</v>
      </c>
      <c r="P66" s="28">
        <v>13</v>
      </c>
      <c r="Q66" s="28">
        <f>[4]Sheet1!$D$20</f>
        <v>1</v>
      </c>
      <c r="R66" s="34">
        <f>[4]Sheet1!$F$11</f>
        <v>1014</v>
      </c>
      <c r="S66" s="28">
        <f>[4]Sheet1!$Z$11</f>
        <v>61</v>
      </c>
      <c r="T66" s="28">
        <v>2</v>
      </c>
      <c r="U66" s="28">
        <v>452</v>
      </c>
      <c r="V66" s="28">
        <v>28</v>
      </c>
      <c r="W66" s="28">
        <v>4</v>
      </c>
      <c r="X66" s="28">
        <v>887</v>
      </c>
      <c r="Y66" s="28">
        <v>50</v>
      </c>
    </row>
    <row r="67" spans="1:25" ht="33.6" x14ac:dyDescent="0.25">
      <c r="A67" s="14">
        <v>56</v>
      </c>
      <c r="B67" s="2" t="s">
        <v>67</v>
      </c>
      <c r="C67" s="2" t="s">
        <v>70</v>
      </c>
      <c r="D67" s="2">
        <v>1.52</v>
      </c>
      <c r="E67" s="7">
        <v>76478</v>
      </c>
      <c r="F67" s="2" t="s">
        <v>71</v>
      </c>
      <c r="G67" s="28">
        <v>5</v>
      </c>
      <c r="H67" s="28">
        <v>1541</v>
      </c>
      <c r="I67" s="28">
        <v>60</v>
      </c>
      <c r="J67" s="28">
        <v>5</v>
      </c>
      <c r="K67" s="28">
        <v>3396</v>
      </c>
      <c r="L67" s="28">
        <v>107</v>
      </c>
      <c r="M67" s="28">
        <v>2</v>
      </c>
      <c r="N67" s="28">
        <v>2416</v>
      </c>
      <c r="O67" s="28">
        <v>68</v>
      </c>
      <c r="P67" s="28">
        <v>10</v>
      </c>
      <c r="Q67" s="28">
        <v>62</v>
      </c>
      <c r="R67" s="28">
        <v>1066</v>
      </c>
      <c r="S67" s="28">
        <v>62</v>
      </c>
      <c r="T67" s="28">
        <v>3</v>
      </c>
      <c r="U67" s="28">
        <v>927</v>
      </c>
      <c r="V67" s="28">
        <v>52</v>
      </c>
      <c r="W67" s="28">
        <v>1</v>
      </c>
      <c r="X67" s="28">
        <v>426</v>
      </c>
      <c r="Y67" s="28">
        <v>21</v>
      </c>
    </row>
    <row r="68" spans="1:25" ht="16.8" x14ac:dyDescent="0.25">
      <c r="A68" s="14">
        <v>57</v>
      </c>
      <c r="B68" s="2" t="s">
        <v>67</v>
      </c>
      <c r="C68" s="2" t="s">
        <v>72</v>
      </c>
      <c r="D68" s="2">
        <v>0.98</v>
      </c>
      <c r="E68" s="7">
        <v>69318</v>
      </c>
      <c r="F68" s="2" t="s">
        <v>73</v>
      </c>
      <c r="G68" s="28">
        <v>2</v>
      </c>
      <c r="H68" s="28">
        <v>497</v>
      </c>
      <c r="I68" s="28">
        <v>20</v>
      </c>
      <c r="J68" s="18">
        <v>3</v>
      </c>
      <c r="K68" s="18">
        <v>2082</v>
      </c>
      <c r="L68" s="18">
        <v>43</v>
      </c>
      <c r="M68" s="28">
        <v>2</v>
      </c>
      <c r="N68" s="28">
        <v>2095</v>
      </c>
      <c r="O68" s="28">
        <v>52</v>
      </c>
      <c r="P68" s="18">
        <v>2</v>
      </c>
      <c r="Q68" s="28">
        <v>12</v>
      </c>
      <c r="R68" s="18">
        <v>497</v>
      </c>
      <c r="S68" s="28">
        <v>12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</row>
    <row r="69" spans="1:25" ht="33.6" x14ac:dyDescent="0.25">
      <c r="A69" s="14">
        <v>58</v>
      </c>
      <c r="B69" s="2" t="s">
        <v>67</v>
      </c>
      <c r="C69" s="2" t="s">
        <v>74</v>
      </c>
      <c r="D69" s="2">
        <v>1.37</v>
      </c>
      <c r="E69" s="7">
        <v>65369</v>
      </c>
      <c r="F69" s="2" t="s">
        <v>75</v>
      </c>
      <c r="G69" s="28">
        <v>4</v>
      </c>
      <c r="H69" s="28">
        <v>813</v>
      </c>
      <c r="I69" s="28">
        <v>34</v>
      </c>
      <c r="J69" s="18">
        <v>4</v>
      </c>
      <c r="K69" s="18">
        <v>3070</v>
      </c>
      <c r="L69" s="18">
        <v>101</v>
      </c>
      <c r="M69" s="28">
        <v>2</v>
      </c>
      <c r="N69" s="28">
        <v>2944</v>
      </c>
      <c r="O69" s="28">
        <v>58</v>
      </c>
      <c r="P69" s="18">
        <v>7</v>
      </c>
      <c r="Q69" s="28">
        <v>30</v>
      </c>
      <c r="R69" s="18">
        <v>624</v>
      </c>
      <c r="S69" s="28">
        <v>30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</row>
    <row r="70" spans="1:25" ht="16.8" x14ac:dyDescent="0.25">
      <c r="A70" s="14">
        <v>59</v>
      </c>
      <c r="B70" s="2" t="s">
        <v>67</v>
      </c>
      <c r="C70" s="2" t="s">
        <v>68</v>
      </c>
      <c r="D70" s="2">
        <v>1.27</v>
      </c>
      <c r="E70" s="7">
        <v>90808</v>
      </c>
      <c r="F70" s="2" t="s">
        <v>69</v>
      </c>
      <c r="G70" s="28">
        <v>6</v>
      </c>
      <c r="H70" s="28">
        <v>1009</v>
      </c>
      <c r="I70" s="28">
        <v>46</v>
      </c>
      <c r="J70" s="18">
        <v>5</v>
      </c>
      <c r="K70" s="18">
        <v>2971</v>
      </c>
      <c r="L70" s="18">
        <v>119</v>
      </c>
      <c r="M70" s="28">
        <v>3</v>
      </c>
      <c r="N70" s="28">
        <v>3223</v>
      </c>
      <c r="O70" s="28">
        <v>86</v>
      </c>
      <c r="P70" s="18">
        <v>7</v>
      </c>
      <c r="Q70" s="28">
        <v>26</v>
      </c>
      <c r="R70" s="18">
        <v>321</v>
      </c>
      <c r="S70" s="28">
        <v>26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</row>
    <row r="71" spans="1:25" ht="16.8" x14ac:dyDescent="0.25">
      <c r="A71" s="14">
        <v>60</v>
      </c>
      <c r="B71" s="2" t="s">
        <v>35</v>
      </c>
      <c r="C71" s="2" t="s">
        <v>36</v>
      </c>
      <c r="D71" s="2">
        <v>1.05</v>
      </c>
      <c r="E71" s="7">
        <v>63293</v>
      </c>
      <c r="F71" s="2" t="s">
        <v>37</v>
      </c>
      <c r="G71" s="28">
        <v>5</v>
      </c>
      <c r="H71" s="28">
        <v>2006</v>
      </c>
      <c r="I71" s="28">
        <v>51</v>
      </c>
      <c r="J71" s="18">
        <v>6</v>
      </c>
      <c r="K71" s="18">
        <v>4233</v>
      </c>
      <c r="L71" s="18">
        <v>140</v>
      </c>
      <c r="M71" s="28">
        <v>3</v>
      </c>
      <c r="N71" s="28">
        <v>3740</v>
      </c>
      <c r="O71" s="28">
        <v>93</v>
      </c>
      <c r="P71" s="18">
        <v>1</v>
      </c>
      <c r="Q71" s="28">
        <v>3</v>
      </c>
      <c r="R71" s="18">
        <v>386</v>
      </c>
      <c r="S71" s="28">
        <v>13</v>
      </c>
      <c r="T71" s="18"/>
      <c r="U71" s="18">
        <v>69</v>
      </c>
      <c r="V71" s="18">
        <v>10</v>
      </c>
      <c r="W71" s="18">
        <v>1</v>
      </c>
      <c r="X71" s="18">
        <v>27</v>
      </c>
      <c r="Y71" s="18">
        <v>8</v>
      </c>
    </row>
    <row r="72" spans="1:25" ht="16.8" x14ac:dyDescent="0.25">
      <c r="A72" s="14">
        <v>61</v>
      </c>
      <c r="B72" s="2" t="s">
        <v>35</v>
      </c>
      <c r="C72" s="2" t="s">
        <v>38</v>
      </c>
      <c r="D72" s="2">
        <v>1.61</v>
      </c>
      <c r="E72" s="7">
        <v>91520</v>
      </c>
      <c r="F72" s="2" t="s">
        <v>39</v>
      </c>
      <c r="G72" s="28">
        <v>5</v>
      </c>
      <c r="H72" s="28">
        <v>2984</v>
      </c>
      <c r="I72" s="28">
        <v>50</v>
      </c>
      <c r="J72" s="18">
        <v>5</v>
      </c>
      <c r="K72" s="18">
        <v>3921</v>
      </c>
      <c r="L72" s="18">
        <v>125</v>
      </c>
      <c r="M72" s="28">
        <v>3</v>
      </c>
      <c r="N72" s="28">
        <v>4149</v>
      </c>
      <c r="O72" s="28">
        <v>97</v>
      </c>
      <c r="P72" s="18">
        <v>3</v>
      </c>
      <c r="Q72" s="28">
        <v>2</v>
      </c>
      <c r="R72" s="18">
        <v>540</v>
      </c>
      <c r="S72" s="28">
        <v>17</v>
      </c>
      <c r="T72" s="18">
        <v>1</v>
      </c>
      <c r="U72" s="18">
        <v>92</v>
      </c>
      <c r="V72" s="18">
        <v>10</v>
      </c>
      <c r="W72" s="18"/>
      <c r="X72" s="18"/>
      <c r="Y72" s="18"/>
    </row>
    <row r="73" spans="1:25" ht="16.8" x14ac:dyDescent="0.25">
      <c r="A73" s="15"/>
      <c r="B73" s="10" t="s">
        <v>382</v>
      </c>
      <c r="C73" s="10">
        <v>7</v>
      </c>
      <c r="D73" s="10">
        <f>SUM(D74:D80)</f>
        <v>56.91</v>
      </c>
      <c r="E73" s="12">
        <f>SUM(E74:E80)</f>
        <v>963878</v>
      </c>
      <c r="F73" s="10"/>
      <c r="G73" s="29">
        <f>SUM(G74:G80)</f>
        <v>33</v>
      </c>
      <c r="H73" s="29">
        <f t="shared" ref="H73:Y73" si="25">SUM(H74:H80)</f>
        <v>15620</v>
      </c>
      <c r="I73" s="29">
        <f t="shared" si="25"/>
        <v>500</v>
      </c>
      <c r="J73" s="29">
        <f t="shared" si="25"/>
        <v>40</v>
      </c>
      <c r="K73" s="29">
        <f t="shared" si="25"/>
        <v>62356</v>
      </c>
      <c r="L73" s="29">
        <f t="shared" si="25"/>
        <v>1706</v>
      </c>
      <c r="M73" s="29">
        <f t="shared" si="25"/>
        <v>21</v>
      </c>
      <c r="N73" s="29">
        <f t="shared" si="25"/>
        <v>45091</v>
      </c>
      <c r="O73" s="29">
        <f t="shared" si="25"/>
        <v>784</v>
      </c>
      <c r="P73" s="29">
        <f t="shared" si="25"/>
        <v>78</v>
      </c>
      <c r="Q73" s="29">
        <f t="shared" si="25"/>
        <v>300</v>
      </c>
      <c r="R73" s="29">
        <f t="shared" si="25"/>
        <v>24179</v>
      </c>
      <c r="S73" s="29">
        <f t="shared" si="25"/>
        <v>654</v>
      </c>
      <c r="T73" s="29">
        <f t="shared" si="25"/>
        <v>8</v>
      </c>
      <c r="U73" s="29">
        <f t="shared" si="25"/>
        <v>1356</v>
      </c>
      <c r="V73" s="29">
        <f t="shared" si="25"/>
        <v>182</v>
      </c>
      <c r="W73" s="29">
        <f t="shared" si="25"/>
        <v>8</v>
      </c>
      <c r="X73" s="29">
        <f t="shared" si="25"/>
        <v>1085</v>
      </c>
      <c r="Y73" s="29">
        <f t="shared" si="25"/>
        <v>150</v>
      </c>
    </row>
    <row r="74" spans="1:25" ht="50.4" x14ac:dyDescent="0.25">
      <c r="A74" s="14">
        <v>62</v>
      </c>
      <c r="B74" s="2" t="s">
        <v>35</v>
      </c>
      <c r="C74" s="2" t="s">
        <v>40</v>
      </c>
      <c r="D74" s="2">
        <v>2.86</v>
      </c>
      <c r="E74" s="7">
        <v>75925</v>
      </c>
      <c r="F74" s="2" t="s">
        <v>41</v>
      </c>
      <c r="G74" s="28">
        <v>4</v>
      </c>
      <c r="H74" s="28">
        <v>4600</v>
      </c>
      <c r="I74" s="28">
        <v>72</v>
      </c>
      <c r="J74" s="18">
        <v>3</v>
      </c>
      <c r="K74" s="18">
        <v>3678</v>
      </c>
      <c r="L74" s="18">
        <v>101</v>
      </c>
      <c r="M74" s="28">
        <v>4</v>
      </c>
      <c r="N74" s="28">
        <v>6305</v>
      </c>
      <c r="O74" s="28">
        <v>167</v>
      </c>
      <c r="P74" s="18">
        <v>12</v>
      </c>
      <c r="Q74" s="28">
        <v>11</v>
      </c>
      <c r="R74" s="18">
        <v>2936</v>
      </c>
      <c r="S74" s="28">
        <v>99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</row>
    <row r="75" spans="1:25" ht="16.8" x14ac:dyDescent="0.25">
      <c r="A75" s="14">
        <v>63</v>
      </c>
      <c r="B75" s="2" t="s">
        <v>35</v>
      </c>
      <c r="C75" s="2" t="s">
        <v>42</v>
      </c>
      <c r="D75" s="2">
        <v>2</v>
      </c>
      <c r="E75" s="7">
        <v>87513</v>
      </c>
      <c r="F75" s="2" t="s">
        <v>43</v>
      </c>
      <c r="G75" s="28">
        <v>3</v>
      </c>
      <c r="H75" s="28">
        <v>1912</v>
      </c>
      <c r="I75" s="28">
        <v>30</v>
      </c>
      <c r="J75" s="18">
        <v>5</v>
      </c>
      <c r="K75" s="18">
        <v>5131</v>
      </c>
      <c r="L75" s="18">
        <v>150</v>
      </c>
      <c r="M75" s="28">
        <v>1</v>
      </c>
      <c r="N75" s="28">
        <v>885</v>
      </c>
      <c r="O75" s="28">
        <v>26</v>
      </c>
      <c r="P75" s="18">
        <v>8</v>
      </c>
      <c r="Q75" s="28">
        <v>9</v>
      </c>
      <c r="R75" s="18">
        <v>2478</v>
      </c>
      <c r="S75" s="28">
        <v>63</v>
      </c>
      <c r="T75" s="18">
        <v>0</v>
      </c>
      <c r="U75" s="18">
        <v>0</v>
      </c>
      <c r="V75" s="18">
        <v>0</v>
      </c>
      <c r="W75" s="18">
        <v>1</v>
      </c>
      <c r="X75" s="18">
        <v>26</v>
      </c>
      <c r="Y75" s="18">
        <v>3</v>
      </c>
    </row>
    <row r="76" spans="1:25" ht="16.8" x14ac:dyDescent="0.25">
      <c r="A76" s="14">
        <v>64</v>
      </c>
      <c r="B76" s="2" t="s">
        <v>87</v>
      </c>
      <c r="C76" s="2" t="s">
        <v>88</v>
      </c>
      <c r="D76" s="2">
        <v>10.47</v>
      </c>
      <c r="E76" s="7">
        <v>172134</v>
      </c>
      <c r="F76" s="2" t="s">
        <v>89</v>
      </c>
      <c r="G76" s="28">
        <v>9</v>
      </c>
      <c r="H76" s="28">
        <v>3226</v>
      </c>
      <c r="I76" s="28">
        <v>123</v>
      </c>
      <c r="J76" s="18">
        <v>8</v>
      </c>
      <c r="K76" s="18">
        <v>11198</v>
      </c>
      <c r="L76" s="18">
        <v>421</v>
      </c>
      <c r="M76" s="28">
        <v>4</v>
      </c>
      <c r="N76" s="28">
        <v>6369</v>
      </c>
      <c r="O76" s="28">
        <v>150</v>
      </c>
      <c r="P76" s="18">
        <v>19</v>
      </c>
      <c r="Q76" s="28">
        <v>56</v>
      </c>
      <c r="R76" s="18">
        <v>4176</v>
      </c>
      <c r="S76" s="28">
        <v>155</v>
      </c>
      <c r="T76" s="18">
        <v>4</v>
      </c>
      <c r="U76" s="18">
        <v>811</v>
      </c>
      <c r="V76" s="18">
        <v>95</v>
      </c>
      <c r="W76" s="18">
        <v>5</v>
      </c>
      <c r="X76" s="18">
        <v>812</v>
      </c>
      <c r="Y76" s="18">
        <v>113</v>
      </c>
    </row>
    <row r="77" spans="1:25" ht="84" x14ac:dyDescent="0.25">
      <c r="A77" s="14">
        <v>65</v>
      </c>
      <c r="B77" s="2" t="s">
        <v>87</v>
      </c>
      <c r="C77" s="2" t="s">
        <v>90</v>
      </c>
      <c r="D77" s="2">
        <v>14.71</v>
      </c>
      <c r="E77" s="7">
        <v>113363</v>
      </c>
      <c r="F77" s="2" t="s">
        <v>91</v>
      </c>
      <c r="G77" s="28">
        <v>7</v>
      </c>
      <c r="H77" s="28">
        <v>1390</v>
      </c>
      <c r="I77" s="28">
        <v>99</v>
      </c>
      <c r="J77" s="18">
        <v>3</v>
      </c>
      <c r="K77" s="18">
        <v>7325</v>
      </c>
      <c r="L77" s="18">
        <v>144</v>
      </c>
      <c r="M77" s="28">
        <v>1</v>
      </c>
      <c r="N77" s="28">
        <v>2934</v>
      </c>
      <c r="O77" s="28">
        <v>22</v>
      </c>
      <c r="P77" s="18">
        <v>8</v>
      </c>
      <c r="Q77" s="28">
        <v>42</v>
      </c>
      <c r="R77" s="18">
        <v>2777</v>
      </c>
      <c r="S77" s="28">
        <v>70</v>
      </c>
      <c r="T77" s="18">
        <v>2</v>
      </c>
      <c r="U77" s="18">
        <v>134</v>
      </c>
      <c r="V77" s="18">
        <v>20</v>
      </c>
      <c r="W77" s="18">
        <v>0</v>
      </c>
      <c r="X77" s="18">
        <v>0</v>
      </c>
      <c r="Y77" s="18">
        <v>0</v>
      </c>
    </row>
    <row r="78" spans="1:25" ht="50.4" x14ac:dyDescent="0.25">
      <c r="A78" s="14">
        <v>66</v>
      </c>
      <c r="B78" s="2" t="s">
        <v>87</v>
      </c>
      <c r="C78" s="2" t="s">
        <v>92</v>
      </c>
      <c r="D78" s="2">
        <v>11.25</v>
      </c>
      <c r="E78" s="7">
        <v>161851</v>
      </c>
      <c r="F78" s="2" t="s">
        <v>93</v>
      </c>
      <c r="G78" s="28">
        <v>3</v>
      </c>
      <c r="H78" s="28">
        <v>1455</v>
      </c>
      <c r="I78" s="28">
        <v>54</v>
      </c>
      <c r="J78" s="18">
        <v>6</v>
      </c>
      <c r="K78" s="18">
        <v>14395</v>
      </c>
      <c r="L78" s="18">
        <v>380</v>
      </c>
      <c r="M78" s="28">
        <v>5</v>
      </c>
      <c r="N78" s="28">
        <v>11128</v>
      </c>
      <c r="O78" s="28">
        <v>175</v>
      </c>
      <c r="P78" s="18">
        <v>13</v>
      </c>
      <c r="Q78" s="28">
        <v>63</v>
      </c>
      <c r="R78" s="18">
        <v>5268</v>
      </c>
      <c r="S78" s="28">
        <v>138</v>
      </c>
      <c r="T78" s="18">
        <v>1</v>
      </c>
      <c r="U78" s="18">
        <v>306</v>
      </c>
      <c r="V78" s="18">
        <v>28</v>
      </c>
      <c r="W78" s="18">
        <v>1</v>
      </c>
      <c r="X78" s="18">
        <v>144</v>
      </c>
      <c r="Y78" s="18">
        <v>6</v>
      </c>
    </row>
    <row r="79" spans="1:25" ht="50.4" x14ac:dyDescent="0.25">
      <c r="A79" s="14">
        <v>67</v>
      </c>
      <c r="B79" s="2" t="s">
        <v>87</v>
      </c>
      <c r="C79" s="2" t="s">
        <v>94</v>
      </c>
      <c r="D79" s="2">
        <v>7.15</v>
      </c>
      <c r="E79" s="7">
        <v>165142</v>
      </c>
      <c r="F79" s="2" t="s">
        <v>95</v>
      </c>
      <c r="G79" s="28">
        <v>2</v>
      </c>
      <c r="H79" s="28">
        <v>1005</v>
      </c>
      <c r="I79" s="28">
        <v>32</v>
      </c>
      <c r="J79" s="18">
        <v>6</v>
      </c>
      <c r="K79" s="18">
        <v>7422</v>
      </c>
      <c r="L79" s="18">
        <v>174</v>
      </c>
      <c r="M79" s="28">
        <v>3</v>
      </c>
      <c r="N79" s="28">
        <v>8067</v>
      </c>
      <c r="O79" s="28">
        <v>105</v>
      </c>
      <c r="P79" s="18">
        <v>5</v>
      </c>
      <c r="Q79" s="28">
        <v>40</v>
      </c>
      <c r="R79" s="18">
        <v>2265</v>
      </c>
      <c r="S79" s="28">
        <v>31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</row>
    <row r="80" spans="1:25" ht="67.2" x14ac:dyDescent="0.25">
      <c r="A80" s="14">
        <v>68</v>
      </c>
      <c r="B80" s="2" t="s">
        <v>87</v>
      </c>
      <c r="C80" s="2" t="s">
        <v>96</v>
      </c>
      <c r="D80" s="2">
        <v>8.4700000000000006</v>
      </c>
      <c r="E80" s="7">
        <v>187950</v>
      </c>
      <c r="F80" s="2" t="s">
        <v>97</v>
      </c>
      <c r="G80" s="28">
        <v>5</v>
      </c>
      <c r="H80" s="28">
        <v>2032</v>
      </c>
      <c r="I80" s="28">
        <v>90</v>
      </c>
      <c r="J80" s="18">
        <v>9</v>
      </c>
      <c r="K80" s="18">
        <v>13207</v>
      </c>
      <c r="L80" s="18">
        <v>336</v>
      </c>
      <c r="M80" s="28">
        <v>3</v>
      </c>
      <c r="N80" s="28">
        <v>9403</v>
      </c>
      <c r="O80" s="28">
        <v>139</v>
      </c>
      <c r="P80" s="18">
        <v>13</v>
      </c>
      <c r="Q80" s="28">
        <v>79</v>
      </c>
      <c r="R80" s="18">
        <v>4279</v>
      </c>
      <c r="S80" s="28">
        <v>98</v>
      </c>
      <c r="T80" s="18">
        <v>1</v>
      </c>
      <c r="U80" s="18">
        <v>105</v>
      </c>
      <c r="V80" s="18">
        <v>39</v>
      </c>
      <c r="W80" s="18">
        <v>1</v>
      </c>
      <c r="X80" s="18">
        <v>103</v>
      </c>
      <c r="Y80" s="18">
        <v>28</v>
      </c>
    </row>
    <row r="81" spans="1:25" ht="16.8" x14ac:dyDescent="0.25">
      <c r="A81" s="15"/>
      <c r="B81" s="10" t="s">
        <v>383</v>
      </c>
      <c r="C81" s="10">
        <v>9</v>
      </c>
      <c r="D81" s="10">
        <f>SUM(D82:D90)</f>
        <v>58.2</v>
      </c>
      <c r="E81" s="12">
        <f>SUM(E82:E90)</f>
        <v>1071518</v>
      </c>
      <c r="F81" s="10"/>
      <c r="G81" s="29">
        <f>SUM(G82:G90)</f>
        <v>41</v>
      </c>
      <c r="H81" s="29">
        <f t="shared" ref="H81:Y81" si="26">SUM(H82:H90)</f>
        <v>12340</v>
      </c>
      <c r="I81" s="29">
        <f t="shared" si="26"/>
        <v>547</v>
      </c>
      <c r="J81" s="29">
        <f t="shared" si="26"/>
        <v>49</v>
      </c>
      <c r="K81" s="29">
        <f t="shared" si="26"/>
        <v>50261</v>
      </c>
      <c r="L81" s="29">
        <f t="shared" si="26"/>
        <v>1490</v>
      </c>
      <c r="M81" s="29">
        <f t="shared" si="26"/>
        <v>25</v>
      </c>
      <c r="N81" s="29">
        <f t="shared" si="26"/>
        <v>39216</v>
      </c>
      <c r="O81" s="29">
        <f t="shared" si="26"/>
        <v>853</v>
      </c>
      <c r="P81" s="29">
        <f t="shared" si="26"/>
        <v>67</v>
      </c>
      <c r="Q81" s="29">
        <f t="shared" si="26"/>
        <v>164</v>
      </c>
      <c r="R81" s="29">
        <f t="shared" si="26"/>
        <v>15835</v>
      </c>
      <c r="S81" s="29">
        <f t="shared" si="26"/>
        <v>982</v>
      </c>
      <c r="T81" s="29">
        <f t="shared" si="26"/>
        <v>6</v>
      </c>
      <c r="U81" s="29">
        <f t="shared" si="26"/>
        <v>1451</v>
      </c>
      <c r="V81" s="29">
        <f t="shared" si="26"/>
        <v>118</v>
      </c>
      <c r="W81" s="29">
        <f t="shared" si="26"/>
        <v>1</v>
      </c>
      <c r="X81" s="29">
        <f t="shared" si="26"/>
        <v>63</v>
      </c>
      <c r="Y81" s="29">
        <f t="shared" si="26"/>
        <v>4</v>
      </c>
    </row>
    <row r="82" spans="1:25" ht="33.6" x14ac:dyDescent="0.25">
      <c r="A82" s="14">
        <v>69</v>
      </c>
      <c r="B82" s="2" t="s">
        <v>21</v>
      </c>
      <c r="C82" s="2" t="s">
        <v>22</v>
      </c>
      <c r="D82" s="2">
        <v>1.94</v>
      </c>
      <c r="E82" s="7">
        <v>57875</v>
      </c>
      <c r="F82" s="2" t="s">
        <v>23</v>
      </c>
      <c r="G82" s="28">
        <v>6</v>
      </c>
      <c r="H82" s="28">
        <v>1596</v>
      </c>
      <c r="I82" s="28">
        <v>71</v>
      </c>
      <c r="J82" s="18">
        <v>7</v>
      </c>
      <c r="K82" s="18">
        <v>3511</v>
      </c>
      <c r="L82" s="18">
        <v>130</v>
      </c>
      <c r="M82" s="28">
        <v>3</v>
      </c>
      <c r="N82" s="28">
        <v>3410</v>
      </c>
      <c r="O82" s="28">
        <v>101</v>
      </c>
      <c r="P82" s="18">
        <v>3</v>
      </c>
      <c r="Q82" s="28">
        <v>1</v>
      </c>
      <c r="R82" s="18">
        <v>373</v>
      </c>
      <c r="S82" s="28">
        <v>40</v>
      </c>
      <c r="T82" s="18">
        <v>2</v>
      </c>
      <c r="U82" s="18">
        <v>211</v>
      </c>
      <c r="V82" s="18">
        <v>18</v>
      </c>
      <c r="W82" s="18">
        <v>0</v>
      </c>
      <c r="X82" s="18">
        <v>0</v>
      </c>
      <c r="Y82" s="18">
        <v>0</v>
      </c>
    </row>
    <row r="83" spans="1:25" ht="50.4" x14ac:dyDescent="0.25">
      <c r="A83" s="14">
        <v>70</v>
      </c>
      <c r="B83" s="2" t="s">
        <v>21</v>
      </c>
      <c r="C83" s="2" t="s">
        <v>26</v>
      </c>
      <c r="D83" s="2">
        <v>1.17</v>
      </c>
      <c r="E83" s="7">
        <v>63015</v>
      </c>
      <c r="F83" s="2" t="s">
        <v>27</v>
      </c>
      <c r="G83" s="28">
        <v>3</v>
      </c>
      <c r="H83" s="28">
        <v>1001</v>
      </c>
      <c r="I83" s="28">
        <v>40</v>
      </c>
      <c r="J83" s="18">
        <v>5</v>
      </c>
      <c r="K83" s="18">
        <v>2845</v>
      </c>
      <c r="L83" s="18">
        <v>94</v>
      </c>
      <c r="M83" s="28">
        <v>2</v>
      </c>
      <c r="N83" s="28">
        <v>1897</v>
      </c>
      <c r="O83" s="28">
        <v>48</v>
      </c>
      <c r="P83" s="18">
        <v>2</v>
      </c>
      <c r="Q83" s="28">
        <v>2</v>
      </c>
      <c r="R83" s="18">
        <v>255</v>
      </c>
      <c r="S83" s="28">
        <v>16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</row>
    <row r="84" spans="1:25" ht="33.6" x14ac:dyDescent="0.3">
      <c r="A84" s="14">
        <v>71</v>
      </c>
      <c r="B84" s="2" t="s">
        <v>44</v>
      </c>
      <c r="C84" s="2" t="s">
        <v>45</v>
      </c>
      <c r="D84" s="2">
        <v>10.16</v>
      </c>
      <c r="E84" s="7">
        <v>148090</v>
      </c>
      <c r="F84" s="2" t="s">
        <v>46</v>
      </c>
      <c r="G84" s="32">
        <v>5</v>
      </c>
      <c r="H84" s="35">
        <v>2595</v>
      </c>
      <c r="I84" s="28">
        <v>75</v>
      </c>
      <c r="J84" s="18">
        <v>4</v>
      </c>
      <c r="K84" s="18">
        <v>5949</v>
      </c>
      <c r="L84" s="18">
        <v>158</v>
      </c>
      <c r="M84" s="28">
        <v>3</v>
      </c>
      <c r="N84" s="28">
        <v>6340</v>
      </c>
      <c r="O84" s="28">
        <v>131</v>
      </c>
      <c r="P84" s="18">
        <v>15</v>
      </c>
      <c r="Q84" s="28">
        <v>17</v>
      </c>
      <c r="R84" s="18">
        <v>3024</v>
      </c>
      <c r="S84" s="28">
        <v>183</v>
      </c>
      <c r="T84" s="18">
        <v>1</v>
      </c>
      <c r="U84" s="18">
        <v>191</v>
      </c>
      <c r="V84" s="18">
        <v>15</v>
      </c>
      <c r="W84" s="18">
        <v>0</v>
      </c>
      <c r="X84" s="18">
        <v>0</v>
      </c>
      <c r="Y84" s="18">
        <v>0</v>
      </c>
    </row>
    <row r="85" spans="1:25" ht="33.6" x14ac:dyDescent="0.3">
      <c r="A85" s="14">
        <v>72</v>
      </c>
      <c r="B85" s="2" t="s">
        <v>44</v>
      </c>
      <c r="C85" s="2" t="s">
        <v>47</v>
      </c>
      <c r="D85" s="2">
        <v>10.55</v>
      </c>
      <c r="E85" s="7">
        <v>84089</v>
      </c>
      <c r="F85" s="2" t="s">
        <v>48</v>
      </c>
      <c r="G85" s="32">
        <v>2</v>
      </c>
      <c r="H85" s="28">
        <v>440</v>
      </c>
      <c r="I85" s="28">
        <v>32</v>
      </c>
      <c r="J85" s="18">
        <v>4</v>
      </c>
      <c r="K85" s="18">
        <v>4861</v>
      </c>
      <c r="L85" s="18">
        <v>125</v>
      </c>
      <c r="M85" s="28">
        <v>0</v>
      </c>
      <c r="N85" s="28">
        <v>0</v>
      </c>
      <c r="O85" s="28">
        <v>0</v>
      </c>
      <c r="P85" s="18">
        <v>15</v>
      </c>
      <c r="Q85" s="28">
        <v>26</v>
      </c>
      <c r="R85" s="18">
        <v>3191</v>
      </c>
      <c r="S85" s="28">
        <v>178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</row>
    <row r="86" spans="1:25" ht="33.6" x14ac:dyDescent="0.3">
      <c r="A86" s="14">
        <v>73</v>
      </c>
      <c r="B86" s="2" t="s">
        <v>44</v>
      </c>
      <c r="C86" s="2" t="s">
        <v>49</v>
      </c>
      <c r="D86" s="2">
        <v>6.45</v>
      </c>
      <c r="E86" s="7">
        <v>68124</v>
      </c>
      <c r="F86" s="2" t="s">
        <v>50</v>
      </c>
      <c r="G86" s="32">
        <v>4</v>
      </c>
      <c r="H86" s="28">
        <v>583</v>
      </c>
      <c r="I86" s="28">
        <v>58</v>
      </c>
      <c r="J86" s="18">
        <v>3</v>
      </c>
      <c r="K86" s="18">
        <v>4113</v>
      </c>
      <c r="L86" s="18">
        <v>115</v>
      </c>
      <c r="M86" s="28">
        <v>2</v>
      </c>
      <c r="N86" s="28">
        <v>4091</v>
      </c>
      <c r="O86" s="28">
        <v>86</v>
      </c>
      <c r="P86" s="18">
        <v>13</v>
      </c>
      <c r="Q86" s="28">
        <v>24</v>
      </c>
      <c r="R86" s="18">
        <v>3040</v>
      </c>
      <c r="S86" s="28">
        <v>135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</row>
    <row r="87" spans="1:25" ht="33.6" x14ac:dyDescent="0.3">
      <c r="A87" s="14">
        <v>74</v>
      </c>
      <c r="B87" s="2" t="s">
        <v>44</v>
      </c>
      <c r="C87" s="2" t="s">
        <v>51</v>
      </c>
      <c r="D87" s="2">
        <v>8.5399999999999991</v>
      </c>
      <c r="E87" s="7">
        <v>153674</v>
      </c>
      <c r="F87" s="2" t="s">
        <v>52</v>
      </c>
      <c r="G87" s="32">
        <v>2</v>
      </c>
      <c r="H87" s="28">
        <v>431</v>
      </c>
      <c r="I87" s="28">
        <v>39</v>
      </c>
      <c r="J87" s="18">
        <v>4</v>
      </c>
      <c r="K87" s="18">
        <v>7128</v>
      </c>
      <c r="L87" s="18">
        <v>176</v>
      </c>
      <c r="M87" s="28">
        <v>3</v>
      </c>
      <c r="N87" s="28">
        <v>6340</v>
      </c>
      <c r="O87" s="28">
        <v>131</v>
      </c>
      <c r="P87" s="18">
        <v>7</v>
      </c>
      <c r="Q87" s="28">
        <v>10</v>
      </c>
      <c r="R87" s="18">
        <v>1195</v>
      </c>
      <c r="S87" s="28">
        <v>80</v>
      </c>
      <c r="T87" s="18">
        <v>1</v>
      </c>
      <c r="U87" s="18">
        <v>720</v>
      </c>
      <c r="V87" s="18">
        <v>60</v>
      </c>
      <c r="W87" s="18">
        <v>0</v>
      </c>
      <c r="X87" s="18">
        <v>0</v>
      </c>
      <c r="Y87" s="18">
        <v>0</v>
      </c>
    </row>
    <row r="88" spans="1:25" ht="33.6" x14ac:dyDescent="0.25">
      <c r="A88" s="14">
        <v>75</v>
      </c>
      <c r="B88" s="2" t="s">
        <v>53</v>
      </c>
      <c r="C88" s="2" t="s">
        <v>56</v>
      </c>
      <c r="D88" s="2">
        <v>5.85</v>
      </c>
      <c r="E88" s="7">
        <v>150389</v>
      </c>
      <c r="F88" s="2" t="s">
        <v>57</v>
      </c>
      <c r="G88" s="28">
        <v>7</v>
      </c>
      <c r="H88" s="28">
        <v>1917</v>
      </c>
      <c r="I88" s="28">
        <v>84</v>
      </c>
      <c r="J88" s="18">
        <v>7</v>
      </c>
      <c r="K88" s="18">
        <v>6661</v>
      </c>
      <c r="L88" s="18">
        <v>222</v>
      </c>
      <c r="M88" s="28">
        <v>3</v>
      </c>
      <c r="N88" s="28">
        <v>5161</v>
      </c>
      <c r="O88" s="28">
        <v>108</v>
      </c>
      <c r="P88" s="18">
        <v>4</v>
      </c>
      <c r="Q88" s="28">
        <v>31</v>
      </c>
      <c r="R88" s="18">
        <v>1401</v>
      </c>
      <c r="S88" s="28">
        <v>124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</row>
    <row r="89" spans="1:25" ht="33.6" x14ac:dyDescent="0.25">
      <c r="A89" s="14">
        <v>76</v>
      </c>
      <c r="B89" s="2" t="s">
        <v>53</v>
      </c>
      <c r="C89" s="2" t="s">
        <v>54</v>
      </c>
      <c r="D89" s="2">
        <v>4.6100000000000003</v>
      </c>
      <c r="E89" s="7">
        <v>190707</v>
      </c>
      <c r="F89" s="2" t="s">
        <v>55</v>
      </c>
      <c r="G89" s="28">
        <v>8</v>
      </c>
      <c r="H89" s="28">
        <v>2280</v>
      </c>
      <c r="I89" s="28">
        <v>93</v>
      </c>
      <c r="J89" s="18">
        <v>8</v>
      </c>
      <c r="K89" s="18">
        <v>7488</v>
      </c>
      <c r="L89" s="18">
        <v>245</v>
      </c>
      <c r="M89" s="28">
        <v>5</v>
      </c>
      <c r="N89" s="28">
        <v>6943</v>
      </c>
      <c r="O89" s="28">
        <v>142</v>
      </c>
      <c r="P89" s="18">
        <v>4</v>
      </c>
      <c r="Q89" s="28">
        <v>19</v>
      </c>
      <c r="R89" s="18">
        <v>1307</v>
      </c>
      <c r="S89" s="28">
        <v>98</v>
      </c>
      <c r="T89" s="18">
        <v>2</v>
      </c>
      <c r="U89" s="18">
        <v>329</v>
      </c>
      <c r="V89" s="18">
        <v>25</v>
      </c>
      <c r="W89" s="18">
        <v>1</v>
      </c>
      <c r="X89" s="18">
        <v>63</v>
      </c>
      <c r="Y89" s="18">
        <v>4</v>
      </c>
    </row>
    <row r="90" spans="1:25" ht="84" x14ac:dyDescent="0.25">
      <c r="A90" s="14">
        <v>77</v>
      </c>
      <c r="B90" s="2" t="s">
        <v>53</v>
      </c>
      <c r="C90" s="2" t="s">
        <v>58</v>
      </c>
      <c r="D90" s="2">
        <v>8.93</v>
      </c>
      <c r="E90" s="7">
        <v>155555</v>
      </c>
      <c r="F90" s="2" t="s">
        <v>59</v>
      </c>
      <c r="G90" s="28">
        <v>4</v>
      </c>
      <c r="H90" s="28">
        <v>1497</v>
      </c>
      <c r="I90" s="28">
        <v>55</v>
      </c>
      <c r="J90" s="18">
        <v>7</v>
      </c>
      <c r="K90" s="18">
        <v>7705</v>
      </c>
      <c r="L90" s="18">
        <v>225</v>
      </c>
      <c r="M90" s="28">
        <v>4</v>
      </c>
      <c r="N90" s="28">
        <v>5034</v>
      </c>
      <c r="O90" s="28">
        <v>106</v>
      </c>
      <c r="P90" s="18">
        <v>4</v>
      </c>
      <c r="Q90" s="28">
        <v>34</v>
      </c>
      <c r="R90" s="18">
        <v>2049</v>
      </c>
      <c r="S90" s="28">
        <v>128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</row>
    <row r="91" spans="1:25" ht="16.8" x14ac:dyDescent="0.25">
      <c r="A91" s="15"/>
      <c r="B91" s="10" t="s">
        <v>384</v>
      </c>
      <c r="C91" s="10">
        <v>6</v>
      </c>
      <c r="D91" s="10">
        <f>SUM(D92:D97)</f>
        <v>103.75</v>
      </c>
      <c r="E91" s="12">
        <f>SUM(E92:E97)</f>
        <v>987502</v>
      </c>
      <c r="F91" s="10"/>
      <c r="G91" s="29">
        <f>SUM(G92:G97)</f>
        <v>30</v>
      </c>
      <c r="H91" s="29">
        <f t="shared" ref="H91:Y91" si="27">SUM(H92:H97)</f>
        <v>10548</v>
      </c>
      <c r="I91" s="29">
        <f t="shared" si="27"/>
        <v>381</v>
      </c>
      <c r="J91" s="29">
        <f t="shared" si="27"/>
        <v>43</v>
      </c>
      <c r="K91" s="29">
        <f t="shared" si="27"/>
        <v>74866</v>
      </c>
      <c r="L91" s="29">
        <f t="shared" si="27"/>
        <v>1504</v>
      </c>
      <c r="M91" s="29">
        <f t="shared" si="27"/>
        <v>21</v>
      </c>
      <c r="N91" s="29">
        <f t="shared" si="27"/>
        <v>49357</v>
      </c>
      <c r="O91" s="29">
        <f t="shared" si="27"/>
        <v>816</v>
      </c>
      <c r="P91" s="29">
        <f t="shared" si="27"/>
        <v>175</v>
      </c>
      <c r="Q91" s="29">
        <f t="shared" si="27"/>
        <v>245</v>
      </c>
      <c r="R91" s="29">
        <f t="shared" si="27"/>
        <v>19602</v>
      </c>
      <c r="S91" s="29">
        <f t="shared" si="27"/>
        <v>1063</v>
      </c>
      <c r="T91" s="29">
        <f t="shared" si="27"/>
        <v>2</v>
      </c>
      <c r="U91" s="29">
        <f t="shared" si="27"/>
        <v>11929</v>
      </c>
      <c r="V91" s="29">
        <f t="shared" si="27"/>
        <v>226</v>
      </c>
      <c r="W91" s="29">
        <f t="shared" si="27"/>
        <v>4</v>
      </c>
      <c r="X91" s="29">
        <f t="shared" si="27"/>
        <v>1031</v>
      </c>
      <c r="Y91" s="29">
        <f t="shared" si="27"/>
        <v>77</v>
      </c>
    </row>
    <row r="92" spans="1:25" ht="50.4" x14ac:dyDescent="0.25">
      <c r="A92" s="14">
        <v>78</v>
      </c>
      <c r="B92" s="2" t="s">
        <v>230</v>
      </c>
      <c r="C92" s="2" t="s">
        <v>233</v>
      </c>
      <c r="D92" s="4">
        <v>21.38</v>
      </c>
      <c r="E92" s="5">
        <v>227817</v>
      </c>
      <c r="F92" s="2" t="s">
        <v>234</v>
      </c>
      <c r="G92" s="4">
        <v>4</v>
      </c>
      <c r="H92" s="4">
        <v>2231</v>
      </c>
      <c r="I92" s="4">
        <v>68</v>
      </c>
      <c r="J92" s="2">
        <v>9</v>
      </c>
      <c r="K92" s="2">
        <v>19812</v>
      </c>
      <c r="L92" s="2">
        <v>389</v>
      </c>
      <c r="M92" s="4">
        <v>5</v>
      </c>
      <c r="N92" s="4">
        <v>14998</v>
      </c>
      <c r="O92" s="4">
        <v>207</v>
      </c>
      <c r="P92" s="2">
        <v>53</v>
      </c>
      <c r="Q92" s="4">
        <v>106</v>
      </c>
      <c r="R92" s="2">
        <v>3287</v>
      </c>
      <c r="S92" s="4">
        <v>254</v>
      </c>
      <c r="T92" s="18">
        <v>1</v>
      </c>
      <c r="U92" s="18">
        <v>95</v>
      </c>
      <c r="V92" s="18">
        <v>5</v>
      </c>
      <c r="W92" s="18">
        <v>2</v>
      </c>
      <c r="X92" s="18">
        <v>105</v>
      </c>
      <c r="Y92" s="18">
        <v>40</v>
      </c>
    </row>
    <row r="93" spans="1:25" ht="33.6" x14ac:dyDescent="0.25">
      <c r="A93" s="14">
        <v>79</v>
      </c>
      <c r="B93" s="2" t="s">
        <v>230</v>
      </c>
      <c r="C93" s="2" t="s">
        <v>231</v>
      </c>
      <c r="D93" s="4">
        <v>21.89</v>
      </c>
      <c r="E93" s="5">
        <v>132056</v>
      </c>
      <c r="F93" s="2" t="s">
        <v>232</v>
      </c>
      <c r="G93" s="4">
        <v>3</v>
      </c>
      <c r="H93" s="4">
        <v>1412</v>
      </c>
      <c r="I93" s="4">
        <v>40</v>
      </c>
      <c r="J93" s="2">
        <v>7</v>
      </c>
      <c r="K93" s="2">
        <v>9782</v>
      </c>
      <c r="L93" s="2">
        <v>257</v>
      </c>
      <c r="M93" s="4">
        <v>4</v>
      </c>
      <c r="N93" s="4">
        <v>7939</v>
      </c>
      <c r="O93" s="4">
        <v>143</v>
      </c>
      <c r="P93" s="2">
        <v>26</v>
      </c>
      <c r="Q93" s="4">
        <v>34</v>
      </c>
      <c r="R93" s="2">
        <v>1073</v>
      </c>
      <c r="S93" s="4">
        <v>82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</row>
    <row r="94" spans="1:25" ht="84" x14ac:dyDescent="0.25">
      <c r="A94" s="14">
        <v>80</v>
      </c>
      <c r="B94" s="2" t="s">
        <v>230</v>
      </c>
      <c r="C94" s="2" t="s">
        <v>235</v>
      </c>
      <c r="D94" s="4">
        <v>21.47</v>
      </c>
      <c r="E94" s="5">
        <v>100243</v>
      </c>
      <c r="F94" s="2" t="s">
        <v>236</v>
      </c>
      <c r="G94" s="4">
        <v>3</v>
      </c>
      <c r="H94" s="4">
        <v>1008</v>
      </c>
      <c r="I94" s="4">
        <v>41</v>
      </c>
      <c r="J94" s="2">
        <v>6</v>
      </c>
      <c r="K94" s="2">
        <v>10880</v>
      </c>
      <c r="L94" s="2">
        <v>198</v>
      </c>
      <c r="M94" s="4">
        <v>2</v>
      </c>
      <c r="N94" s="4">
        <v>4847</v>
      </c>
      <c r="O94" s="4">
        <v>90</v>
      </c>
      <c r="P94" s="2">
        <v>28</v>
      </c>
      <c r="Q94" s="4">
        <v>23</v>
      </c>
      <c r="R94" s="2">
        <v>718</v>
      </c>
      <c r="S94" s="4">
        <v>53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</row>
    <row r="95" spans="1:25" ht="33.6" x14ac:dyDescent="0.25">
      <c r="A95" s="14">
        <v>81</v>
      </c>
      <c r="B95" s="2" t="s">
        <v>153</v>
      </c>
      <c r="C95" s="2" t="s">
        <v>154</v>
      </c>
      <c r="D95" s="2">
        <v>16.010000000000002</v>
      </c>
      <c r="E95" s="7">
        <v>215638</v>
      </c>
      <c r="F95" s="2" t="s">
        <v>155</v>
      </c>
      <c r="G95" s="28">
        <v>7</v>
      </c>
      <c r="H95" s="28">
        <v>2353</v>
      </c>
      <c r="I95" s="28">
        <v>82</v>
      </c>
      <c r="J95" s="18">
        <v>8</v>
      </c>
      <c r="K95" s="18">
        <v>11899</v>
      </c>
      <c r="L95" s="18">
        <v>211</v>
      </c>
      <c r="M95" s="28">
        <v>3</v>
      </c>
      <c r="N95" s="28">
        <v>6782</v>
      </c>
      <c r="O95" s="28">
        <v>107</v>
      </c>
      <c r="P95" s="18">
        <v>33</v>
      </c>
      <c r="Q95" s="28">
        <v>47</v>
      </c>
      <c r="R95" s="18">
        <v>6764</v>
      </c>
      <c r="S95" s="28">
        <v>348</v>
      </c>
      <c r="T95" s="18">
        <v>1</v>
      </c>
      <c r="U95" s="18">
        <v>11834</v>
      </c>
      <c r="V95" s="18">
        <v>221</v>
      </c>
      <c r="W95" s="18">
        <v>1</v>
      </c>
      <c r="X95" s="18">
        <v>458</v>
      </c>
      <c r="Y95" s="18">
        <v>23</v>
      </c>
    </row>
    <row r="96" spans="1:25" ht="33.6" x14ac:dyDescent="0.25">
      <c r="A96" s="14">
        <v>82</v>
      </c>
      <c r="B96" s="2" t="s">
        <v>153</v>
      </c>
      <c r="C96" s="2" t="s">
        <v>158</v>
      </c>
      <c r="D96" s="2">
        <v>10.71</v>
      </c>
      <c r="E96" s="7">
        <v>153414</v>
      </c>
      <c r="F96" s="2" t="s">
        <v>159</v>
      </c>
      <c r="G96" s="28">
        <v>5</v>
      </c>
      <c r="H96" s="28">
        <v>1700</v>
      </c>
      <c r="I96" s="28">
        <v>64</v>
      </c>
      <c r="J96" s="18">
        <v>6</v>
      </c>
      <c r="K96" s="18">
        <v>12216</v>
      </c>
      <c r="L96" s="18">
        <v>201</v>
      </c>
      <c r="M96" s="28">
        <v>4</v>
      </c>
      <c r="N96" s="28">
        <v>9166</v>
      </c>
      <c r="O96" s="28">
        <v>163</v>
      </c>
      <c r="P96" s="18">
        <v>21</v>
      </c>
      <c r="Q96" s="28">
        <v>19</v>
      </c>
      <c r="R96" s="18">
        <v>4631</v>
      </c>
      <c r="S96" s="28">
        <v>198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</row>
    <row r="97" spans="1:25" ht="33.6" x14ac:dyDescent="0.25">
      <c r="A97" s="14">
        <v>83</v>
      </c>
      <c r="B97" s="2" t="s">
        <v>153</v>
      </c>
      <c r="C97" s="2" t="s">
        <v>160</v>
      </c>
      <c r="D97" s="2">
        <v>12.29</v>
      </c>
      <c r="E97" s="7">
        <v>158334</v>
      </c>
      <c r="F97" s="2" t="s">
        <v>161</v>
      </c>
      <c r="G97" s="28">
        <v>8</v>
      </c>
      <c r="H97" s="28">
        <v>1844</v>
      </c>
      <c r="I97" s="28">
        <v>86</v>
      </c>
      <c r="J97" s="18">
        <v>7</v>
      </c>
      <c r="K97" s="18">
        <v>10277</v>
      </c>
      <c r="L97" s="18">
        <v>248</v>
      </c>
      <c r="M97" s="28">
        <v>3</v>
      </c>
      <c r="N97" s="28">
        <v>5625</v>
      </c>
      <c r="O97" s="28">
        <v>106</v>
      </c>
      <c r="P97" s="18">
        <v>14</v>
      </c>
      <c r="Q97" s="28">
        <v>16</v>
      </c>
      <c r="R97" s="18">
        <v>3129</v>
      </c>
      <c r="S97" s="28">
        <v>128</v>
      </c>
      <c r="T97" s="18">
        <v>0</v>
      </c>
      <c r="U97" s="18">
        <v>0</v>
      </c>
      <c r="V97" s="18">
        <v>0</v>
      </c>
      <c r="W97" s="18">
        <v>1</v>
      </c>
      <c r="X97" s="18">
        <v>468</v>
      </c>
      <c r="Y97" s="18">
        <v>14</v>
      </c>
    </row>
    <row r="98" spans="1:25" ht="16.8" x14ac:dyDescent="0.25">
      <c r="A98" s="15"/>
      <c r="B98" s="10" t="s">
        <v>385</v>
      </c>
      <c r="C98" s="10">
        <v>9</v>
      </c>
      <c r="D98" s="10">
        <f>SUM(D99:D107)</f>
        <v>172.55999999999997</v>
      </c>
      <c r="E98" s="12">
        <f>SUM(E99:E107)</f>
        <v>977917</v>
      </c>
      <c r="F98" s="10"/>
      <c r="G98" s="29">
        <f>SUM(G99:G107)</f>
        <v>45</v>
      </c>
      <c r="H98" s="29">
        <f t="shared" ref="H98:Y98" si="28">SUM(H99:H107)</f>
        <v>12827</v>
      </c>
      <c r="I98" s="29">
        <f t="shared" si="28"/>
        <v>502</v>
      </c>
      <c r="J98" s="29">
        <f t="shared" si="28"/>
        <v>38</v>
      </c>
      <c r="K98" s="29">
        <f t="shared" si="28"/>
        <v>52787</v>
      </c>
      <c r="L98" s="29">
        <f t="shared" si="28"/>
        <v>1285</v>
      </c>
      <c r="M98" s="29">
        <f t="shared" si="28"/>
        <v>27</v>
      </c>
      <c r="N98" s="29">
        <f t="shared" si="28"/>
        <v>39603</v>
      </c>
      <c r="O98" s="29">
        <f t="shared" si="28"/>
        <v>951</v>
      </c>
      <c r="P98" s="29">
        <f t="shared" si="28"/>
        <v>132</v>
      </c>
      <c r="Q98" s="29">
        <f t="shared" si="28"/>
        <v>236</v>
      </c>
      <c r="R98" s="29">
        <f t="shared" si="28"/>
        <v>24974</v>
      </c>
      <c r="S98" s="29">
        <f t="shared" si="28"/>
        <v>1611</v>
      </c>
      <c r="T98" s="29">
        <f t="shared" si="28"/>
        <v>11</v>
      </c>
      <c r="U98" s="29">
        <f t="shared" si="28"/>
        <v>5951</v>
      </c>
      <c r="V98" s="29">
        <f t="shared" si="28"/>
        <v>313</v>
      </c>
      <c r="W98" s="29">
        <f t="shared" si="28"/>
        <v>13</v>
      </c>
      <c r="X98" s="29">
        <f t="shared" si="28"/>
        <v>5006</v>
      </c>
      <c r="Y98" s="29">
        <f t="shared" si="28"/>
        <v>300</v>
      </c>
    </row>
    <row r="99" spans="1:25" ht="50.4" x14ac:dyDescent="0.25">
      <c r="A99" s="14">
        <v>84</v>
      </c>
      <c r="B99" s="2" t="s">
        <v>153</v>
      </c>
      <c r="C99" s="2" t="s">
        <v>156</v>
      </c>
      <c r="D99" s="2">
        <v>8.81</v>
      </c>
      <c r="E99" s="7">
        <v>118952</v>
      </c>
      <c r="F99" s="2" t="s">
        <v>157</v>
      </c>
      <c r="G99" s="28">
        <v>5</v>
      </c>
      <c r="H99" s="28">
        <v>1284</v>
      </c>
      <c r="I99" s="28">
        <v>46</v>
      </c>
      <c r="J99" s="18">
        <v>5</v>
      </c>
      <c r="K99" s="18">
        <v>7002</v>
      </c>
      <c r="L99" s="18">
        <v>181</v>
      </c>
      <c r="M99" s="28">
        <v>5</v>
      </c>
      <c r="N99" s="28">
        <v>7565</v>
      </c>
      <c r="O99" s="28">
        <v>171</v>
      </c>
      <c r="P99" s="18">
        <v>19</v>
      </c>
      <c r="Q99" s="28">
        <v>3</v>
      </c>
      <c r="R99" s="18">
        <v>3022</v>
      </c>
      <c r="S99" s="28">
        <v>195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</row>
    <row r="100" spans="1:25" ht="50.4" x14ac:dyDescent="0.25">
      <c r="A100" s="14">
        <v>85</v>
      </c>
      <c r="B100" s="2" t="s">
        <v>153</v>
      </c>
      <c r="C100" s="2" t="s">
        <v>162</v>
      </c>
      <c r="D100" s="2">
        <v>16.510000000000002</v>
      </c>
      <c r="E100" s="7">
        <v>208233</v>
      </c>
      <c r="F100" s="2" t="s">
        <v>163</v>
      </c>
      <c r="G100" s="28">
        <v>8</v>
      </c>
      <c r="H100" s="28">
        <v>2449</v>
      </c>
      <c r="I100" s="28">
        <v>79</v>
      </c>
      <c r="J100" s="18">
        <v>6</v>
      </c>
      <c r="K100" s="18">
        <v>10225</v>
      </c>
      <c r="L100" s="18">
        <v>243</v>
      </c>
      <c r="M100" s="28">
        <v>5</v>
      </c>
      <c r="N100" s="28">
        <v>9881</v>
      </c>
      <c r="O100" s="28">
        <v>225</v>
      </c>
      <c r="P100" s="18">
        <v>14</v>
      </c>
      <c r="Q100" s="28">
        <v>32</v>
      </c>
      <c r="R100" s="18">
        <v>3318</v>
      </c>
      <c r="S100" s="28">
        <v>165</v>
      </c>
      <c r="T100" s="18">
        <v>2</v>
      </c>
      <c r="U100" s="18">
        <v>519</v>
      </c>
      <c r="V100" s="18">
        <v>39</v>
      </c>
      <c r="W100" s="18">
        <v>0</v>
      </c>
      <c r="X100" s="18">
        <v>0</v>
      </c>
      <c r="Y100" s="18">
        <v>0</v>
      </c>
    </row>
    <row r="101" spans="1:25" ht="33.6" x14ac:dyDescent="0.25">
      <c r="A101" s="14">
        <v>86</v>
      </c>
      <c r="B101" s="2" t="s">
        <v>153</v>
      </c>
      <c r="C101" s="2" t="s">
        <v>164</v>
      </c>
      <c r="D101" s="2">
        <v>29.43</v>
      </c>
      <c r="E101" s="7">
        <v>119637</v>
      </c>
      <c r="F101" s="2" t="s">
        <v>165</v>
      </c>
      <c r="G101" s="28">
        <v>5</v>
      </c>
      <c r="H101" s="28">
        <v>1661</v>
      </c>
      <c r="I101" s="28">
        <v>68</v>
      </c>
      <c r="J101" s="18">
        <v>4</v>
      </c>
      <c r="K101" s="18">
        <v>5913</v>
      </c>
      <c r="L101" s="18">
        <v>141</v>
      </c>
      <c r="M101" s="28">
        <v>2</v>
      </c>
      <c r="N101" s="28">
        <v>3053</v>
      </c>
      <c r="O101" s="28">
        <v>74</v>
      </c>
      <c r="P101" s="18">
        <v>7</v>
      </c>
      <c r="Q101" s="28">
        <v>16</v>
      </c>
      <c r="R101" s="18">
        <v>2620</v>
      </c>
      <c r="S101" s="28">
        <v>119</v>
      </c>
      <c r="T101" s="18">
        <v>1</v>
      </c>
      <c r="U101" s="18">
        <v>1996</v>
      </c>
      <c r="V101" s="18">
        <v>70</v>
      </c>
      <c r="W101" s="18">
        <v>1</v>
      </c>
      <c r="X101" s="18">
        <v>1985</v>
      </c>
      <c r="Y101" s="18">
        <v>70</v>
      </c>
    </row>
    <row r="102" spans="1:25" ht="33.6" x14ac:dyDescent="0.25">
      <c r="A102" s="14">
        <v>87</v>
      </c>
      <c r="B102" s="2" t="s">
        <v>153</v>
      </c>
      <c r="C102" s="2" t="s">
        <v>166</v>
      </c>
      <c r="D102" s="2">
        <v>34.29</v>
      </c>
      <c r="E102" s="7">
        <v>53092</v>
      </c>
      <c r="F102" s="2" t="s">
        <v>167</v>
      </c>
      <c r="G102" s="28">
        <v>3</v>
      </c>
      <c r="H102" s="28">
        <v>732</v>
      </c>
      <c r="I102" s="28">
        <v>45</v>
      </c>
      <c r="J102" s="18">
        <v>2</v>
      </c>
      <c r="K102" s="18">
        <v>3347</v>
      </c>
      <c r="L102" s="18">
        <v>73</v>
      </c>
      <c r="M102" s="28">
        <v>2</v>
      </c>
      <c r="N102" s="28">
        <v>2320</v>
      </c>
      <c r="O102" s="28">
        <v>53</v>
      </c>
      <c r="P102" s="18">
        <v>2</v>
      </c>
      <c r="Q102" s="28">
        <v>19</v>
      </c>
      <c r="R102" s="18">
        <v>1228</v>
      </c>
      <c r="S102" s="28">
        <v>59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</row>
    <row r="103" spans="1:25" ht="33.6" x14ac:dyDescent="0.25">
      <c r="A103" s="14">
        <v>88</v>
      </c>
      <c r="B103" s="2" t="s">
        <v>153</v>
      </c>
      <c r="C103" s="2" t="s">
        <v>168</v>
      </c>
      <c r="D103" s="2">
        <v>24.49</v>
      </c>
      <c r="E103" s="7">
        <v>73669</v>
      </c>
      <c r="F103" s="2" t="s">
        <v>169</v>
      </c>
      <c r="G103" s="28">
        <v>2</v>
      </c>
      <c r="H103" s="28">
        <v>760</v>
      </c>
      <c r="I103" s="28">
        <v>24</v>
      </c>
      <c r="J103" s="18">
        <v>2</v>
      </c>
      <c r="K103" s="18">
        <v>2639</v>
      </c>
      <c r="L103" s="18">
        <v>61</v>
      </c>
      <c r="M103" s="28">
        <v>2</v>
      </c>
      <c r="N103" s="28">
        <v>1873</v>
      </c>
      <c r="O103" s="28">
        <v>67</v>
      </c>
      <c r="P103" s="18">
        <v>4</v>
      </c>
      <c r="Q103" s="28">
        <v>47</v>
      </c>
      <c r="R103" s="18">
        <v>2248</v>
      </c>
      <c r="S103" s="28">
        <v>152</v>
      </c>
      <c r="T103" s="18">
        <v>0</v>
      </c>
      <c r="U103" s="18">
        <v>0</v>
      </c>
      <c r="V103" s="18">
        <v>0</v>
      </c>
      <c r="W103" s="18">
        <v>3</v>
      </c>
      <c r="X103" s="18">
        <v>1301</v>
      </c>
      <c r="Y103" s="18">
        <v>162</v>
      </c>
    </row>
    <row r="104" spans="1:25" ht="33.6" x14ac:dyDescent="0.25">
      <c r="A104" s="14">
        <v>89</v>
      </c>
      <c r="B104" s="2" t="s">
        <v>153</v>
      </c>
      <c r="C104" s="2" t="s">
        <v>170</v>
      </c>
      <c r="D104" s="2">
        <v>19.649999999999999</v>
      </c>
      <c r="E104" s="7">
        <v>68654</v>
      </c>
      <c r="F104" s="2" t="s">
        <v>171</v>
      </c>
      <c r="G104" s="28">
        <v>5</v>
      </c>
      <c r="H104" s="28">
        <v>1189</v>
      </c>
      <c r="I104" s="28">
        <v>45</v>
      </c>
      <c r="J104" s="18">
        <v>3</v>
      </c>
      <c r="K104" s="18">
        <v>3814</v>
      </c>
      <c r="L104" s="18">
        <v>92</v>
      </c>
      <c r="M104" s="28">
        <v>4</v>
      </c>
      <c r="N104" s="28">
        <v>4450</v>
      </c>
      <c r="O104" s="28">
        <v>112</v>
      </c>
      <c r="P104" s="18">
        <v>12</v>
      </c>
      <c r="Q104" s="28">
        <v>20</v>
      </c>
      <c r="R104" s="18">
        <v>1603</v>
      </c>
      <c r="S104" s="28">
        <v>128</v>
      </c>
      <c r="T104" s="18">
        <v>2</v>
      </c>
      <c r="U104" s="18">
        <v>626</v>
      </c>
      <c r="V104" s="18">
        <v>36</v>
      </c>
      <c r="W104" s="18">
        <v>3</v>
      </c>
      <c r="X104" s="18"/>
      <c r="Y104" s="18"/>
    </row>
    <row r="105" spans="1:25" ht="33.6" x14ac:dyDescent="0.25">
      <c r="A105" s="14">
        <v>90</v>
      </c>
      <c r="B105" s="2" t="s">
        <v>153</v>
      </c>
      <c r="C105" s="2" t="s">
        <v>172</v>
      </c>
      <c r="D105" s="2">
        <v>14.82</v>
      </c>
      <c r="E105" s="7">
        <v>121382</v>
      </c>
      <c r="F105" s="2" t="s">
        <v>173</v>
      </c>
      <c r="G105" s="28">
        <v>8</v>
      </c>
      <c r="H105" s="28">
        <v>1665</v>
      </c>
      <c r="I105" s="28">
        <v>81</v>
      </c>
      <c r="J105" s="18">
        <v>6</v>
      </c>
      <c r="K105" s="18">
        <v>8948</v>
      </c>
      <c r="L105" s="18">
        <v>208</v>
      </c>
      <c r="M105" s="28">
        <v>3</v>
      </c>
      <c r="N105" s="28">
        <v>3775</v>
      </c>
      <c r="O105" s="28">
        <v>96</v>
      </c>
      <c r="P105" s="18">
        <v>25</v>
      </c>
      <c r="Q105" s="28">
        <v>36</v>
      </c>
      <c r="R105" s="18">
        <v>3920</v>
      </c>
      <c r="S105" s="28">
        <v>284</v>
      </c>
      <c r="T105" s="18">
        <v>1</v>
      </c>
      <c r="U105" s="18">
        <v>335</v>
      </c>
      <c r="V105" s="18">
        <v>17</v>
      </c>
      <c r="W105" s="18">
        <v>1</v>
      </c>
      <c r="X105" s="18">
        <v>336</v>
      </c>
      <c r="Y105" s="18">
        <v>17</v>
      </c>
    </row>
    <row r="106" spans="1:25" ht="33.6" x14ac:dyDescent="0.25">
      <c r="A106" s="14">
        <v>91</v>
      </c>
      <c r="B106" s="2" t="s">
        <v>153</v>
      </c>
      <c r="C106" s="2" t="s">
        <v>174</v>
      </c>
      <c r="D106" s="2">
        <v>9.23</v>
      </c>
      <c r="E106" s="7">
        <v>137331</v>
      </c>
      <c r="F106" s="2" t="s">
        <v>175</v>
      </c>
      <c r="G106" s="28">
        <v>4</v>
      </c>
      <c r="H106" s="28">
        <v>1604</v>
      </c>
      <c r="I106" s="28">
        <v>55</v>
      </c>
      <c r="J106" s="18">
        <v>6</v>
      </c>
      <c r="K106" s="18">
        <v>8373</v>
      </c>
      <c r="L106" s="18">
        <v>219</v>
      </c>
      <c r="M106" s="28">
        <v>2</v>
      </c>
      <c r="N106" s="28">
        <v>4322</v>
      </c>
      <c r="O106" s="28">
        <v>94</v>
      </c>
      <c r="P106" s="18">
        <v>21</v>
      </c>
      <c r="Q106" s="28">
        <v>49</v>
      </c>
      <c r="R106" s="18">
        <v>4365</v>
      </c>
      <c r="S106" s="28">
        <v>295</v>
      </c>
      <c r="T106" s="18">
        <v>1</v>
      </c>
      <c r="U106" s="18">
        <v>532</v>
      </c>
      <c r="V106" s="18">
        <v>17</v>
      </c>
      <c r="W106" s="18">
        <v>1</v>
      </c>
      <c r="X106" s="18">
        <v>524</v>
      </c>
      <c r="Y106" s="18">
        <v>17</v>
      </c>
    </row>
    <row r="107" spans="1:25" ht="50.4" x14ac:dyDescent="0.25">
      <c r="A107" s="14">
        <v>92</v>
      </c>
      <c r="B107" s="2" t="s">
        <v>153</v>
      </c>
      <c r="C107" s="2" t="s">
        <v>176</v>
      </c>
      <c r="D107" s="2">
        <v>15.33</v>
      </c>
      <c r="E107" s="7">
        <v>76967</v>
      </c>
      <c r="F107" s="2" t="s">
        <v>177</v>
      </c>
      <c r="G107" s="28">
        <v>5</v>
      </c>
      <c r="H107" s="28">
        <v>1483</v>
      </c>
      <c r="I107" s="28">
        <v>59</v>
      </c>
      <c r="J107" s="18">
        <v>4</v>
      </c>
      <c r="K107" s="18">
        <v>2526</v>
      </c>
      <c r="L107" s="18">
        <v>67</v>
      </c>
      <c r="M107" s="28">
        <v>2</v>
      </c>
      <c r="N107" s="28">
        <v>2364</v>
      </c>
      <c r="O107" s="28">
        <v>59</v>
      </c>
      <c r="P107" s="18">
        <v>28</v>
      </c>
      <c r="Q107" s="28">
        <v>14</v>
      </c>
      <c r="R107" s="18">
        <v>2650</v>
      </c>
      <c r="S107" s="28">
        <v>214</v>
      </c>
      <c r="T107" s="18">
        <v>4</v>
      </c>
      <c r="U107" s="18">
        <v>1943</v>
      </c>
      <c r="V107" s="18">
        <v>134</v>
      </c>
      <c r="W107" s="18">
        <v>4</v>
      </c>
      <c r="X107" s="18">
        <v>860</v>
      </c>
      <c r="Y107" s="18">
        <v>34</v>
      </c>
    </row>
    <row r="108" spans="1:25" ht="16.8" x14ac:dyDescent="0.25">
      <c r="A108" s="15"/>
      <c r="B108" s="10" t="s">
        <v>386</v>
      </c>
      <c r="C108" s="10">
        <v>13</v>
      </c>
      <c r="D108" s="10">
        <f>SUM(D109:D121)</f>
        <v>1056.83</v>
      </c>
      <c r="E108" s="12">
        <f>SUM(E109:E121)</f>
        <v>1109426</v>
      </c>
      <c r="F108" s="10"/>
      <c r="G108" s="29">
        <f>SUM(G109:G121)</f>
        <v>56</v>
      </c>
      <c r="H108" s="29">
        <f t="shared" ref="H108:Y108" si="29">SUM(H109:H121)</f>
        <v>17687</v>
      </c>
      <c r="I108" s="29">
        <f t="shared" si="29"/>
        <v>709</v>
      </c>
      <c r="J108" s="29">
        <f t="shared" si="29"/>
        <v>68</v>
      </c>
      <c r="K108" s="29">
        <f t="shared" si="29"/>
        <v>66772</v>
      </c>
      <c r="L108" s="29">
        <f t="shared" si="29"/>
        <v>1851</v>
      </c>
      <c r="M108" s="29">
        <f t="shared" si="29"/>
        <v>35</v>
      </c>
      <c r="N108" s="29">
        <f t="shared" si="29"/>
        <v>48470</v>
      </c>
      <c r="O108" s="29">
        <f t="shared" si="29"/>
        <v>1061</v>
      </c>
      <c r="P108" s="29">
        <f t="shared" si="29"/>
        <v>53</v>
      </c>
      <c r="Q108" s="29">
        <f t="shared" si="29"/>
        <v>235</v>
      </c>
      <c r="R108" s="29">
        <f t="shared" si="29"/>
        <v>17178</v>
      </c>
      <c r="S108" s="29">
        <f t="shared" si="29"/>
        <v>992</v>
      </c>
      <c r="T108" s="29">
        <f t="shared" si="29"/>
        <v>4</v>
      </c>
      <c r="U108" s="29">
        <f t="shared" si="29"/>
        <v>927</v>
      </c>
      <c r="V108" s="29">
        <f t="shared" si="29"/>
        <v>54</v>
      </c>
      <c r="W108" s="29">
        <f t="shared" si="29"/>
        <v>3</v>
      </c>
      <c r="X108" s="29">
        <f t="shared" si="29"/>
        <v>509</v>
      </c>
      <c r="Y108" s="29">
        <f t="shared" si="29"/>
        <v>44</v>
      </c>
    </row>
    <row r="109" spans="1:25" ht="33.6" x14ac:dyDescent="0.25">
      <c r="A109" s="14">
        <v>93</v>
      </c>
      <c r="B109" s="2" t="s">
        <v>178</v>
      </c>
      <c r="C109" s="2" t="s">
        <v>179</v>
      </c>
      <c r="D109" s="4">
        <v>30.55</v>
      </c>
      <c r="E109" s="5">
        <v>167521</v>
      </c>
      <c r="F109" s="2" t="s">
        <v>180</v>
      </c>
      <c r="G109" s="28">
        <v>3</v>
      </c>
      <c r="H109" s="28">
        <v>1021</v>
      </c>
      <c r="I109" s="28">
        <v>41</v>
      </c>
      <c r="J109" s="18">
        <v>6</v>
      </c>
      <c r="K109" s="18">
        <v>9894</v>
      </c>
      <c r="L109" s="18">
        <v>176</v>
      </c>
      <c r="M109" s="28">
        <v>2</v>
      </c>
      <c r="N109" s="28">
        <v>6553</v>
      </c>
      <c r="O109" s="28">
        <v>72</v>
      </c>
      <c r="P109" s="18">
        <v>4</v>
      </c>
      <c r="Q109" s="28">
        <v>40</v>
      </c>
      <c r="R109" s="18">
        <v>3913</v>
      </c>
      <c r="S109" s="28">
        <v>167</v>
      </c>
      <c r="T109" s="18">
        <v>1</v>
      </c>
      <c r="U109" s="18">
        <v>346</v>
      </c>
      <c r="V109" s="18">
        <v>15</v>
      </c>
      <c r="W109" s="18">
        <v>0</v>
      </c>
      <c r="X109" s="18">
        <v>0</v>
      </c>
      <c r="Y109" s="18">
        <v>0</v>
      </c>
    </row>
    <row r="110" spans="1:25" ht="84" x14ac:dyDescent="0.25">
      <c r="A110" s="14">
        <v>94</v>
      </c>
      <c r="B110" s="2" t="s">
        <v>178</v>
      </c>
      <c r="C110" s="2" t="s">
        <v>181</v>
      </c>
      <c r="D110" s="4">
        <v>34.049999999999997</v>
      </c>
      <c r="E110" s="5">
        <v>163839</v>
      </c>
      <c r="F110" s="2" t="s">
        <v>182</v>
      </c>
      <c r="G110" s="28">
        <v>6</v>
      </c>
      <c r="H110" s="28">
        <v>1761</v>
      </c>
      <c r="I110" s="28">
        <v>70</v>
      </c>
      <c r="J110" s="18">
        <v>4</v>
      </c>
      <c r="K110" s="18">
        <v>9815</v>
      </c>
      <c r="L110" s="18">
        <v>120</v>
      </c>
      <c r="M110" s="28">
        <v>3</v>
      </c>
      <c r="N110" s="28">
        <v>7312</v>
      </c>
      <c r="O110" s="28">
        <v>113</v>
      </c>
      <c r="P110" s="18">
        <v>5</v>
      </c>
      <c r="Q110" s="28">
        <v>38</v>
      </c>
      <c r="R110" s="18">
        <v>2579</v>
      </c>
      <c r="S110" s="28">
        <v>136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</row>
    <row r="111" spans="1:25" ht="33.6" x14ac:dyDescent="0.25">
      <c r="A111" s="14">
        <v>95</v>
      </c>
      <c r="B111" s="2" t="s">
        <v>178</v>
      </c>
      <c r="C111" s="2" t="s">
        <v>183</v>
      </c>
      <c r="D111" s="4">
        <v>54.18</v>
      </c>
      <c r="E111" s="5">
        <v>47180</v>
      </c>
      <c r="F111" s="2" t="s">
        <v>184</v>
      </c>
      <c r="G111" s="28">
        <v>4</v>
      </c>
      <c r="H111" s="28">
        <v>897</v>
      </c>
      <c r="I111" s="28">
        <v>44</v>
      </c>
      <c r="J111" s="18">
        <v>4</v>
      </c>
      <c r="K111" s="18">
        <v>3016</v>
      </c>
      <c r="L111" s="18">
        <v>110</v>
      </c>
      <c r="M111" s="28">
        <v>2</v>
      </c>
      <c r="N111" s="28">
        <v>2176</v>
      </c>
      <c r="O111" s="28">
        <v>38</v>
      </c>
      <c r="P111" s="18">
        <v>1</v>
      </c>
      <c r="Q111" s="28">
        <v>7</v>
      </c>
      <c r="R111" s="18">
        <v>535</v>
      </c>
      <c r="S111" s="28">
        <v>27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</row>
    <row r="112" spans="1:25" ht="100.8" x14ac:dyDescent="0.25">
      <c r="A112" s="14">
        <v>96</v>
      </c>
      <c r="B112" s="2" t="s">
        <v>178</v>
      </c>
      <c r="C112" s="2" t="s">
        <v>185</v>
      </c>
      <c r="D112" s="4">
        <v>43.67</v>
      </c>
      <c r="E112" s="5">
        <v>115513</v>
      </c>
      <c r="F112" s="2" t="s">
        <v>186</v>
      </c>
      <c r="G112" s="28">
        <v>4</v>
      </c>
      <c r="H112" s="28">
        <v>1433</v>
      </c>
      <c r="I112" s="28">
        <v>48</v>
      </c>
      <c r="J112" s="18">
        <v>6</v>
      </c>
      <c r="K112" s="18">
        <v>6640</v>
      </c>
      <c r="L112" s="18">
        <v>200</v>
      </c>
      <c r="M112" s="28">
        <v>3</v>
      </c>
      <c r="N112" s="28">
        <v>5318</v>
      </c>
      <c r="O112" s="28">
        <v>145</v>
      </c>
      <c r="P112" s="18">
        <v>4</v>
      </c>
      <c r="Q112" s="28">
        <v>19</v>
      </c>
      <c r="R112" s="18">
        <v>1674</v>
      </c>
      <c r="S112" s="28">
        <v>83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</row>
    <row r="113" spans="1:25" ht="33.6" x14ac:dyDescent="0.25">
      <c r="A113" s="14">
        <v>97</v>
      </c>
      <c r="B113" s="2" t="s">
        <v>178</v>
      </c>
      <c r="C113" s="2" t="s">
        <v>187</v>
      </c>
      <c r="D113" s="4">
        <v>21.33</v>
      </c>
      <c r="E113" s="5">
        <v>76187</v>
      </c>
      <c r="F113" s="2" t="s">
        <v>188</v>
      </c>
      <c r="G113" s="28">
        <v>5</v>
      </c>
      <c r="H113" s="28">
        <v>1692</v>
      </c>
      <c r="I113" s="28">
        <v>89</v>
      </c>
      <c r="J113" s="18">
        <v>7</v>
      </c>
      <c r="K113" s="18">
        <v>6283</v>
      </c>
      <c r="L113" s="18">
        <v>203</v>
      </c>
      <c r="M113" s="28">
        <v>3</v>
      </c>
      <c r="N113" s="28">
        <v>4850</v>
      </c>
      <c r="O113" s="28">
        <v>105</v>
      </c>
      <c r="P113" s="18">
        <v>6</v>
      </c>
      <c r="Q113" s="28">
        <v>19</v>
      </c>
      <c r="R113" s="18">
        <v>1415</v>
      </c>
      <c r="S113" s="28">
        <v>74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</row>
    <row r="114" spans="1:25" ht="33.6" x14ac:dyDescent="0.25">
      <c r="A114" s="14">
        <v>98</v>
      </c>
      <c r="B114" s="2" t="s">
        <v>178</v>
      </c>
      <c r="C114" s="2" t="s">
        <v>189</v>
      </c>
      <c r="D114" s="4">
        <v>35.54</v>
      </c>
      <c r="E114" s="5">
        <v>71504</v>
      </c>
      <c r="F114" s="2" t="s">
        <v>190</v>
      </c>
      <c r="G114" s="28">
        <v>4</v>
      </c>
      <c r="H114" s="28">
        <v>1187</v>
      </c>
      <c r="I114" s="28">
        <v>44</v>
      </c>
      <c r="J114" s="18">
        <v>4</v>
      </c>
      <c r="K114" s="18">
        <v>4098</v>
      </c>
      <c r="L114" s="18">
        <v>156</v>
      </c>
      <c r="M114" s="28">
        <v>3</v>
      </c>
      <c r="N114" s="28">
        <v>3416</v>
      </c>
      <c r="O114" s="28">
        <v>115</v>
      </c>
      <c r="P114" s="18"/>
      <c r="Q114" s="28">
        <v>6</v>
      </c>
      <c r="R114" s="18">
        <v>265</v>
      </c>
      <c r="S114" s="28">
        <v>19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</row>
    <row r="115" spans="1:25" ht="50.4" x14ac:dyDescent="0.25">
      <c r="A115" s="14">
        <v>99</v>
      </c>
      <c r="B115" s="2" t="s">
        <v>178</v>
      </c>
      <c r="C115" s="2" t="s">
        <v>191</v>
      </c>
      <c r="D115" s="4">
        <v>32.630000000000003</v>
      </c>
      <c r="E115" s="5">
        <v>183697</v>
      </c>
      <c r="F115" s="2" t="s">
        <v>192</v>
      </c>
      <c r="G115" s="28">
        <v>6</v>
      </c>
      <c r="H115" s="28">
        <v>2534</v>
      </c>
      <c r="I115" s="28">
        <v>82</v>
      </c>
      <c r="J115" s="18">
        <v>6</v>
      </c>
      <c r="K115" s="18">
        <v>6248</v>
      </c>
      <c r="L115" s="18">
        <v>182</v>
      </c>
      <c r="M115" s="28">
        <v>4</v>
      </c>
      <c r="N115" s="28">
        <v>3630</v>
      </c>
      <c r="O115" s="28">
        <v>97</v>
      </c>
      <c r="P115" s="18">
        <v>9</v>
      </c>
      <c r="Q115" s="28">
        <v>46</v>
      </c>
      <c r="R115" s="18">
        <v>2771</v>
      </c>
      <c r="S115" s="28">
        <v>194</v>
      </c>
      <c r="T115" s="18">
        <v>3</v>
      </c>
      <c r="U115" s="18">
        <v>581</v>
      </c>
      <c r="V115" s="18">
        <v>39</v>
      </c>
      <c r="W115" s="18">
        <v>3</v>
      </c>
      <c r="X115" s="18">
        <v>509</v>
      </c>
      <c r="Y115" s="18">
        <v>44</v>
      </c>
    </row>
    <row r="116" spans="1:25" ht="33.6" x14ac:dyDescent="0.25">
      <c r="A116" s="14">
        <v>100</v>
      </c>
      <c r="B116" s="2" t="s">
        <v>193</v>
      </c>
      <c r="C116" s="2" t="s">
        <v>194</v>
      </c>
      <c r="D116" s="4">
        <v>158.28</v>
      </c>
      <c r="E116" s="5">
        <v>35482</v>
      </c>
      <c r="F116" s="2" t="s">
        <v>195</v>
      </c>
      <c r="G116" s="28">
        <v>4</v>
      </c>
      <c r="H116" s="28">
        <v>1352</v>
      </c>
      <c r="I116" s="28">
        <v>48</v>
      </c>
      <c r="J116" s="18">
        <v>6</v>
      </c>
      <c r="K116" s="18">
        <v>2351</v>
      </c>
      <c r="L116" s="18">
        <v>124</v>
      </c>
      <c r="M116" s="28">
        <v>2</v>
      </c>
      <c r="N116" s="28">
        <v>1741</v>
      </c>
      <c r="O116" s="28">
        <v>51</v>
      </c>
      <c r="P116" s="18">
        <v>0</v>
      </c>
      <c r="Q116" s="28">
        <v>0</v>
      </c>
      <c r="R116" s="18">
        <v>0</v>
      </c>
      <c r="S116" s="2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</row>
    <row r="117" spans="1:25" ht="33.6" x14ac:dyDescent="0.25">
      <c r="A117" s="14">
        <v>101</v>
      </c>
      <c r="B117" s="2" t="s">
        <v>193</v>
      </c>
      <c r="C117" s="2" t="s">
        <v>196</v>
      </c>
      <c r="D117" s="4">
        <v>257.85000000000002</v>
      </c>
      <c r="E117" s="5">
        <v>22607</v>
      </c>
      <c r="F117" s="2" t="s">
        <v>197</v>
      </c>
      <c r="G117" s="28">
        <v>2</v>
      </c>
      <c r="H117" s="28">
        <v>499</v>
      </c>
      <c r="I117" s="28">
        <v>28</v>
      </c>
      <c r="J117" s="18">
        <v>4</v>
      </c>
      <c r="K117" s="18">
        <v>1107</v>
      </c>
      <c r="L117" s="18">
        <v>66</v>
      </c>
      <c r="M117" s="28">
        <v>3</v>
      </c>
      <c r="N117" s="28">
        <v>1129</v>
      </c>
      <c r="O117" s="28">
        <v>52</v>
      </c>
      <c r="P117" s="18">
        <v>0</v>
      </c>
      <c r="Q117" s="28">
        <v>0</v>
      </c>
      <c r="R117" s="18">
        <v>0</v>
      </c>
      <c r="S117" s="2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</row>
    <row r="118" spans="1:25" ht="16.8" x14ac:dyDescent="0.25">
      <c r="A118" s="14">
        <v>102</v>
      </c>
      <c r="B118" s="2" t="s">
        <v>193</v>
      </c>
      <c r="C118" s="2" t="s">
        <v>198</v>
      </c>
      <c r="D118" s="4">
        <v>157.01</v>
      </c>
      <c r="E118" s="5">
        <v>27130</v>
      </c>
      <c r="F118" s="2" t="s">
        <v>199</v>
      </c>
      <c r="G118" s="28">
        <v>4</v>
      </c>
      <c r="H118" s="28">
        <v>823</v>
      </c>
      <c r="I118" s="28">
        <v>44</v>
      </c>
      <c r="J118" s="18">
        <v>5</v>
      </c>
      <c r="K118" s="18">
        <v>1461</v>
      </c>
      <c r="L118" s="18">
        <v>82</v>
      </c>
      <c r="M118" s="28">
        <v>2</v>
      </c>
      <c r="N118" s="28">
        <v>1303</v>
      </c>
      <c r="O118" s="28">
        <v>48</v>
      </c>
      <c r="P118" s="18">
        <v>0</v>
      </c>
      <c r="Q118" s="28">
        <v>0</v>
      </c>
      <c r="R118" s="18">
        <v>0</v>
      </c>
      <c r="S118" s="2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</row>
    <row r="119" spans="1:25" ht="16.8" x14ac:dyDescent="0.25">
      <c r="A119" s="14">
        <v>103</v>
      </c>
      <c r="B119" s="2" t="s">
        <v>193</v>
      </c>
      <c r="C119" s="2" t="s">
        <v>200</v>
      </c>
      <c r="D119" s="4">
        <v>131.31</v>
      </c>
      <c r="E119" s="5">
        <v>5180</v>
      </c>
      <c r="F119" s="2" t="s">
        <v>200</v>
      </c>
      <c r="G119" s="28">
        <v>1</v>
      </c>
      <c r="H119" s="28">
        <v>143</v>
      </c>
      <c r="I119" s="28">
        <v>6</v>
      </c>
      <c r="J119" s="18">
        <v>1</v>
      </c>
      <c r="K119" s="18">
        <v>254</v>
      </c>
      <c r="L119" s="18">
        <v>15</v>
      </c>
      <c r="M119" s="28">
        <v>0</v>
      </c>
      <c r="N119" s="28">
        <v>0</v>
      </c>
      <c r="O119" s="28">
        <v>0</v>
      </c>
      <c r="P119" s="18">
        <v>0</v>
      </c>
      <c r="Q119" s="28">
        <v>0</v>
      </c>
      <c r="R119" s="18">
        <v>0</v>
      </c>
      <c r="S119" s="2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</row>
    <row r="120" spans="1:25" ht="33.6" x14ac:dyDescent="0.25">
      <c r="A120" s="14">
        <v>104</v>
      </c>
      <c r="B120" s="2" t="s">
        <v>225</v>
      </c>
      <c r="C120" s="2" t="s">
        <v>226</v>
      </c>
      <c r="D120" s="4">
        <v>37.1</v>
      </c>
      <c r="E120" s="5">
        <v>125832</v>
      </c>
      <c r="F120" s="2" t="s">
        <v>227</v>
      </c>
      <c r="G120" s="28">
        <v>9</v>
      </c>
      <c r="H120" s="28">
        <v>2677</v>
      </c>
      <c r="I120" s="28">
        <v>102</v>
      </c>
      <c r="J120" s="18">
        <v>10</v>
      </c>
      <c r="K120" s="18">
        <v>9693</v>
      </c>
      <c r="L120" s="18">
        <v>268</v>
      </c>
      <c r="M120" s="28">
        <v>6</v>
      </c>
      <c r="N120" s="28">
        <v>8232</v>
      </c>
      <c r="O120" s="28">
        <v>168</v>
      </c>
      <c r="P120" s="18">
        <v>18</v>
      </c>
      <c r="Q120" s="28">
        <v>49</v>
      </c>
      <c r="R120" s="18">
        <v>3177</v>
      </c>
      <c r="S120" s="28">
        <v>241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>
        <v>0</v>
      </c>
    </row>
    <row r="121" spans="1:25" ht="16.8" x14ac:dyDescent="0.25">
      <c r="A121" s="14">
        <v>105</v>
      </c>
      <c r="B121" s="2" t="s">
        <v>225</v>
      </c>
      <c r="C121" s="2" t="s">
        <v>228</v>
      </c>
      <c r="D121" s="4">
        <v>63.33</v>
      </c>
      <c r="E121" s="5">
        <v>67754</v>
      </c>
      <c r="F121" s="2" t="s">
        <v>229</v>
      </c>
      <c r="G121" s="28">
        <v>4</v>
      </c>
      <c r="H121" s="28">
        <v>1668</v>
      </c>
      <c r="I121" s="28">
        <v>63</v>
      </c>
      <c r="J121" s="18">
        <v>5</v>
      </c>
      <c r="K121" s="18">
        <v>5912</v>
      </c>
      <c r="L121" s="18">
        <v>149</v>
      </c>
      <c r="M121" s="28">
        <v>2</v>
      </c>
      <c r="N121" s="28">
        <v>2810</v>
      </c>
      <c r="O121" s="28">
        <v>57</v>
      </c>
      <c r="P121" s="18">
        <v>6</v>
      </c>
      <c r="Q121" s="28">
        <v>11</v>
      </c>
      <c r="R121" s="18">
        <v>849</v>
      </c>
      <c r="S121" s="28">
        <v>51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</row>
    <row r="122" spans="1:25" ht="16.8" x14ac:dyDescent="0.25">
      <c r="A122" s="15"/>
      <c r="B122" s="10" t="s">
        <v>387</v>
      </c>
      <c r="C122" s="10">
        <v>9</v>
      </c>
      <c r="D122" s="11">
        <f>SUM(D123:D131)</f>
        <v>195.41000000000003</v>
      </c>
      <c r="E122" s="13">
        <f>SUM(E123:E131)</f>
        <v>977892</v>
      </c>
      <c r="F122" s="10"/>
      <c r="G122" s="29">
        <f>SUM(G123:G131)</f>
        <v>29</v>
      </c>
      <c r="H122" s="29">
        <f t="shared" ref="H122:Y122" si="30">SUM(H123:H131)</f>
        <v>8997</v>
      </c>
      <c r="I122" s="29">
        <f t="shared" si="30"/>
        <v>448</v>
      </c>
      <c r="J122" s="29">
        <f t="shared" si="30"/>
        <v>49</v>
      </c>
      <c r="K122" s="29">
        <f t="shared" si="30"/>
        <v>74541</v>
      </c>
      <c r="L122" s="29">
        <f t="shared" si="30"/>
        <v>1652</v>
      </c>
      <c r="M122" s="29">
        <f t="shared" si="30"/>
        <v>18</v>
      </c>
      <c r="N122" s="29">
        <f t="shared" si="30"/>
        <v>47315</v>
      </c>
      <c r="O122" s="29">
        <f t="shared" si="30"/>
        <v>778</v>
      </c>
      <c r="P122" s="29">
        <f t="shared" si="30"/>
        <v>148</v>
      </c>
      <c r="Q122" s="29">
        <f t="shared" si="30"/>
        <v>330</v>
      </c>
      <c r="R122" s="29">
        <f t="shared" si="30"/>
        <v>11496</v>
      </c>
      <c r="S122" s="29">
        <f t="shared" si="30"/>
        <v>717</v>
      </c>
      <c r="T122" s="29">
        <f t="shared" si="30"/>
        <v>0</v>
      </c>
      <c r="U122" s="29">
        <f t="shared" si="30"/>
        <v>0</v>
      </c>
      <c r="V122" s="29">
        <f t="shared" si="30"/>
        <v>0</v>
      </c>
      <c r="W122" s="29">
        <f t="shared" si="30"/>
        <v>1</v>
      </c>
      <c r="X122" s="29">
        <f t="shared" si="30"/>
        <v>28</v>
      </c>
      <c r="Y122" s="29">
        <f t="shared" si="30"/>
        <v>29</v>
      </c>
    </row>
    <row r="123" spans="1:25" ht="84" x14ac:dyDescent="0.25">
      <c r="A123" s="14">
        <v>106</v>
      </c>
      <c r="B123" s="2" t="s">
        <v>248</v>
      </c>
      <c r="C123" s="2" t="s">
        <v>249</v>
      </c>
      <c r="D123" s="4">
        <v>15.68</v>
      </c>
      <c r="E123" s="5">
        <v>88132</v>
      </c>
      <c r="F123" s="2" t="s">
        <v>250</v>
      </c>
      <c r="G123" s="4">
        <v>6</v>
      </c>
      <c r="H123" s="4">
        <v>1742</v>
      </c>
      <c r="I123" s="4">
        <v>89</v>
      </c>
      <c r="J123" s="2">
        <v>7</v>
      </c>
      <c r="K123" s="2">
        <v>7877</v>
      </c>
      <c r="L123" s="2">
        <v>237</v>
      </c>
      <c r="M123" s="4">
        <v>6</v>
      </c>
      <c r="N123" s="4">
        <v>7073</v>
      </c>
      <c r="O123" s="4">
        <v>135</v>
      </c>
      <c r="P123" s="2">
        <v>7</v>
      </c>
      <c r="Q123" s="4">
        <v>16</v>
      </c>
      <c r="R123" s="2">
        <v>596</v>
      </c>
      <c r="S123" s="4">
        <v>40</v>
      </c>
      <c r="T123" s="18">
        <v>0</v>
      </c>
      <c r="U123" s="18">
        <v>0</v>
      </c>
      <c r="V123" s="18">
        <v>0</v>
      </c>
      <c r="W123" s="18">
        <v>1</v>
      </c>
      <c r="X123" s="18">
        <v>28</v>
      </c>
      <c r="Y123" s="18">
        <v>29</v>
      </c>
    </row>
    <row r="124" spans="1:25" ht="50.4" x14ac:dyDescent="0.25">
      <c r="A124" s="14">
        <v>107</v>
      </c>
      <c r="B124" s="2" t="s">
        <v>248</v>
      </c>
      <c r="C124" s="2" t="s">
        <v>251</v>
      </c>
      <c r="D124" s="4">
        <v>17.96</v>
      </c>
      <c r="E124" s="5">
        <v>107721</v>
      </c>
      <c r="F124" s="2" t="s">
        <v>252</v>
      </c>
      <c r="G124" s="4">
        <v>5</v>
      </c>
      <c r="H124" s="4">
        <v>1379</v>
      </c>
      <c r="I124" s="4">
        <v>54</v>
      </c>
      <c r="J124" s="2">
        <v>6</v>
      </c>
      <c r="K124" s="2">
        <v>8162</v>
      </c>
      <c r="L124" s="2">
        <v>201</v>
      </c>
      <c r="M124" s="4">
        <v>2</v>
      </c>
      <c r="N124" s="4">
        <v>4153</v>
      </c>
      <c r="O124" s="4">
        <v>74</v>
      </c>
      <c r="P124" s="2">
        <v>22</v>
      </c>
      <c r="Q124" s="4">
        <v>28</v>
      </c>
      <c r="R124" s="2">
        <v>947</v>
      </c>
      <c r="S124" s="4">
        <v>69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</row>
    <row r="125" spans="1:25" ht="84" x14ac:dyDescent="0.25">
      <c r="A125" s="14">
        <v>108</v>
      </c>
      <c r="B125" s="2" t="s">
        <v>248</v>
      </c>
      <c r="C125" s="2" t="s">
        <v>253</v>
      </c>
      <c r="D125" s="4">
        <v>19.89</v>
      </c>
      <c r="E125" s="5">
        <v>57176</v>
      </c>
      <c r="F125" s="2" t="s">
        <v>254</v>
      </c>
      <c r="G125" s="4">
        <v>2</v>
      </c>
      <c r="H125" s="4">
        <v>570</v>
      </c>
      <c r="I125" s="4">
        <v>40</v>
      </c>
      <c r="J125" s="2">
        <v>4</v>
      </c>
      <c r="K125" s="2">
        <v>3922</v>
      </c>
      <c r="L125" s="2">
        <v>123</v>
      </c>
      <c r="M125" s="4">
        <v>2</v>
      </c>
      <c r="N125" s="4">
        <v>1993</v>
      </c>
      <c r="O125" s="4">
        <v>35</v>
      </c>
      <c r="P125" s="2">
        <v>6</v>
      </c>
      <c r="Q125" s="4">
        <v>15</v>
      </c>
      <c r="R125" s="2">
        <v>343</v>
      </c>
      <c r="S125" s="4">
        <v>25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</row>
    <row r="126" spans="1:25" ht="50.4" x14ac:dyDescent="0.25">
      <c r="A126" s="14">
        <v>109</v>
      </c>
      <c r="B126" s="2" t="s">
        <v>248</v>
      </c>
      <c r="C126" s="2" t="s">
        <v>255</v>
      </c>
      <c r="D126" s="4">
        <v>58.16</v>
      </c>
      <c r="E126" s="5">
        <v>107576</v>
      </c>
      <c r="F126" s="2" t="s">
        <v>256</v>
      </c>
      <c r="G126" s="4">
        <v>4</v>
      </c>
      <c r="H126" s="4">
        <v>1458</v>
      </c>
      <c r="I126" s="4">
        <v>75</v>
      </c>
      <c r="J126" s="2">
        <v>4</v>
      </c>
      <c r="K126" s="2">
        <v>8276</v>
      </c>
      <c r="L126" s="2">
        <v>152</v>
      </c>
      <c r="M126" s="4">
        <v>3</v>
      </c>
      <c r="N126" s="4">
        <v>5174</v>
      </c>
      <c r="O126" s="4">
        <v>121</v>
      </c>
      <c r="P126" s="2">
        <v>14</v>
      </c>
      <c r="Q126" s="4">
        <v>32</v>
      </c>
      <c r="R126" s="2">
        <v>1373</v>
      </c>
      <c r="S126" s="4">
        <v>75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</row>
    <row r="127" spans="1:25" ht="50.4" x14ac:dyDescent="0.25">
      <c r="A127" s="14">
        <v>110</v>
      </c>
      <c r="B127" s="2" t="s">
        <v>237</v>
      </c>
      <c r="C127" s="2" t="s">
        <v>238</v>
      </c>
      <c r="D127" s="4">
        <v>16.850000000000001</v>
      </c>
      <c r="E127" s="5">
        <v>162930</v>
      </c>
      <c r="F127" s="2" t="s">
        <v>239</v>
      </c>
      <c r="G127" s="4">
        <v>2</v>
      </c>
      <c r="H127" s="4">
        <v>650</v>
      </c>
      <c r="I127" s="4">
        <v>32</v>
      </c>
      <c r="J127" s="2">
        <v>5</v>
      </c>
      <c r="K127" s="2">
        <v>8327</v>
      </c>
      <c r="L127" s="2">
        <v>151</v>
      </c>
      <c r="M127" s="4">
        <v>1</v>
      </c>
      <c r="N127" s="4">
        <v>4350</v>
      </c>
      <c r="O127" s="4">
        <v>55</v>
      </c>
      <c r="P127" s="2">
        <v>37</v>
      </c>
      <c r="Q127" s="4">
        <v>49</v>
      </c>
      <c r="R127" s="2">
        <v>1994</v>
      </c>
      <c r="S127" s="4">
        <v>115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</row>
    <row r="128" spans="1:25" ht="50.4" x14ac:dyDescent="0.25">
      <c r="A128" s="14">
        <v>111</v>
      </c>
      <c r="B128" s="2" t="s">
        <v>237</v>
      </c>
      <c r="C128" s="2" t="s">
        <v>240</v>
      </c>
      <c r="D128" s="4">
        <v>18.489999999999998</v>
      </c>
      <c r="E128" s="5">
        <v>120035</v>
      </c>
      <c r="F128" s="2" t="s">
        <v>241</v>
      </c>
      <c r="G128" s="4">
        <v>2</v>
      </c>
      <c r="H128" s="4">
        <v>718</v>
      </c>
      <c r="I128" s="4">
        <v>36</v>
      </c>
      <c r="J128" s="2">
        <v>2</v>
      </c>
      <c r="K128" s="2">
        <v>5615</v>
      </c>
      <c r="L128" s="2">
        <v>80</v>
      </c>
      <c r="M128" s="4">
        <v>1</v>
      </c>
      <c r="N128" s="4">
        <v>3460</v>
      </c>
      <c r="O128" s="4">
        <v>45</v>
      </c>
      <c r="P128" s="2">
        <v>13</v>
      </c>
      <c r="Q128" s="4">
        <v>68</v>
      </c>
      <c r="R128" s="2">
        <v>2258</v>
      </c>
      <c r="S128" s="4">
        <v>130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</row>
    <row r="129" spans="1:25" ht="50.4" x14ac:dyDescent="0.25">
      <c r="A129" s="14">
        <v>112</v>
      </c>
      <c r="B129" s="2" t="s">
        <v>237</v>
      </c>
      <c r="C129" s="2" t="s">
        <v>242</v>
      </c>
      <c r="D129" s="4">
        <v>15.46</v>
      </c>
      <c r="E129" s="5">
        <v>118852</v>
      </c>
      <c r="F129" s="2" t="s">
        <v>243</v>
      </c>
      <c r="G129" s="4">
        <v>4</v>
      </c>
      <c r="H129" s="4">
        <v>1292</v>
      </c>
      <c r="I129" s="4">
        <v>62</v>
      </c>
      <c r="J129" s="2">
        <v>6</v>
      </c>
      <c r="K129" s="2">
        <v>10890</v>
      </c>
      <c r="L129" s="2">
        <v>243</v>
      </c>
      <c r="M129" s="4">
        <v>1</v>
      </c>
      <c r="N129" s="4">
        <v>6851</v>
      </c>
      <c r="O129" s="4">
        <v>101</v>
      </c>
      <c r="P129" s="2">
        <v>17</v>
      </c>
      <c r="Q129" s="4">
        <v>45</v>
      </c>
      <c r="R129" s="2">
        <v>1288</v>
      </c>
      <c r="S129" s="4">
        <v>96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</row>
    <row r="130" spans="1:25" ht="33.6" x14ac:dyDescent="0.25">
      <c r="A130" s="14">
        <v>113</v>
      </c>
      <c r="B130" s="2" t="s">
        <v>237</v>
      </c>
      <c r="C130" s="2" t="s">
        <v>244</v>
      </c>
      <c r="D130" s="4">
        <v>16.11</v>
      </c>
      <c r="E130" s="5">
        <v>64689</v>
      </c>
      <c r="F130" s="2" t="s">
        <v>245</v>
      </c>
      <c r="G130" s="4">
        <v>3</v>
      </c>
      <c r="H130" s="4">
        <v>932</v>
      </c>
      <c r="I130" s="4">
        <v>51</v>
      </c>
      <c r="J130" s="2">
        <v>8</v>
      </c>
      <c r="K130" s="2">
        <v>7559</v>
      </c>
      <c r="L130" s="2">
        <v>150</v>
      </c>
      <c r="M130" s="4">
        <v>1</v>
      </c>
      <c r="N130" s="4">
        <v>5204</v>
      </c>
      <c r="O130" s="4">
        <v>86</v>
      </c>
      <c r="P130" s="2">
        <v>7</v>
      </c>
      <c r="Q130" s="4">
        <v>21</v>
      </c>
      <c r="R130" s="2">
        <v>796</v>
      </c>
      <c r="S130" s="4">
        <v>46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</row>
    <row r="131" spans="1:25" ht="50.4" x14ac:dyDescent="0.25">
      <c r="A131" s="14">
        <v>114</v>
      </c>
      <c r="B131" s="2" t="s">
        <v>237</v>
      </c>
      <c r="C131" s="2" t="s">
        <v>246</v>
      </c>
      <c r="D131" s="4">
        <v>16.809999999999999</v>
      </c>
      <c r="E131" s="5">
        <v>150781</v>
      </c>
      <c r="F131" s="2" t="s">
        <v>247</v>
      </c>
      <c r="G131" s="4">
        <v>1</v>
      </c>
      <c r="H131" s="4">
        <v>256</v>
      </c>
      <c r="I131" s="4">
        <v>9</v>
      </c>
      <c r="J131" s="2">
        <v>7</v>
      </c>
      <c r="K131" s="2">
        <v>13913</v>
      </c>
      <c r="L131" s="2">
        <v>315</v>
      </c>
      <c r="M131" s="4">
        <v>1</v>
      </c>
      <c r="N131" s="4">
        <v>9057</v>
      </c>
      <c r="O131" s="4">
        <v>126</v>
      </c>
      <c r="P131" s="2">
        <v>25</v>
      </c>
      <c r="Q131" s="4">
        <v>56</v>
      </c>
      <c r="R131" s="2">
        <v>1901</v>
      </c>
      <c r="S131" s="4">
        <v>121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</row>
    <row r="132" spans="1:25" ht="16.8" x14ac:dyDescent="0.25">
      <c r="A132" s="15"/>
      <c r="B132" s="10" t="s">
        <v>388</v>
      </c>
      <c r="C132" s="10">
        <v>11</v>
      </c>
      <c r="D132" s="11">
        <f>SUM(D133:D143)</f>
        <v>1123.82</v>
      </c>
      <c r="E132" s="13">
        <f>SUM(E133:E143)</f>
        <v>636505</v>
      </c>
      <c r="F132" s="10"/>
      <c r="G132" s="33">
        <f>SUM(G133:G143)</f>
        <v>31</v>
      </c>
      <c r="H132" s="33">
        <f t="shared" ref="H132:Y132" si="31">SUM(H133:H143)</f>
        <v>8723</v>
      </c>
      <c r="I132" s="33">
        <f t="shared" si="31"/>
        <v>381</v>
      </c>
      <c r="J132" s="33">
        <f t="shared" si="31"/>
        <v>33</v>
      </c>
      <c r="K132" s="33">
        <f t="shared" si="31"/>
        <v>40092</v>
      </c>
      <c r="L132" s="33">
        <f t="shared" si="31"/>
        <v>968</v>
      </c>
      <c r="M132" s="33">
        <f t="shared" si="31"/>
        <v>20</v>
      </c>
      <c r="N132" s="33">
        <f t="shared" si="31"/>
        <v>25318</v>
      </c>
      <c r="O132" s="33">
        <f t="shared" si="31"/>
        <v>466</v>
      </c>
      <c r="P132" s="33">
        <f t="shared" si="31"/>
        <v>29</v>
      </c>
      <c r="Q132" s="33">
        <f t="shared" si="31"/>
        <v>181</v>
      </c>
      <c r="R132" s="33">
        <f t="shared" si="31"/>
        <v>6862</v>
      </c>
      <c r="S132" s="33">
        <f t="shared" si="31"/>
        <v>377</v>
      </c>
      <c r="T132" s="33">
        <f t="shared" si="31"/>
        <v>0</v>
      </c>
      <c r="U132" s="33">
        <f t="shared" si="31"/>
        <v>0</v>
      </c>
      <c r="V132" s="33">
        <f t="shared" si="31"/>
        <v>0</v>
      </c>
      <c r="W132" s="33">
        <f t="shared" si="31"/>
        <v>0</v>
      </c>
      <c r="X132" s="33">
        <f t="shared" si="31"/>
        <v>0</v>
      </c>
      <c r="Y132" s="33">
        <f t="shared" si="31"/>
        <v>0</v>
      </c>
    </row>
    <row r="133" spans="1:25" ht="50.4" x14ac:dyDescent="0.25">
      <c r="A133" s="14">
        <v>115</v>
      </c>
      <c r="B133" s="2" t="s">
        <v>272</v>
      </c>
      <c r="C133" s="2" t="s">
        <v>273</v>
      </c>
      <c r="D133" s="4">
        <v>61.35</v>
      </c>
      <c r="E133" s="5">
        <v>61865</v>
      </c>
      <c r="F133" s="2" t="s">
        <v>274</v>
      </c>
      <c r="G133" s="4">
        <v>2</v>
      </c>
      <c r="H133" s="4">
        <v>584</v>
      </c>
      <c r="I133" s="4">
        <v>29</v>
      </c>
      <c r="J133" s="2">
        <v>2</v>
      </c>
      <c r="K133" s="2">
        <v>2774</v>
      </c>
      <c r="L133" s="2">
        <v>53</v>
      </c>
      <c r="M133" s="4">
        <v>2</v>
      </c>
      <c r="N133" s="4">
        <v>2429</v>
      </c>
      <c r="O133" s="4">
        <v>47</v>
      </c>
      <c r="P133" s="2">
        <v>2</v>
      </c>
      <c r="Q133" s="4">
        <v>21</v>
      </c>
      <c r="R133" s="2">
        <v>951</v>
      </c>
      <c r="S133" s="4">
        <v>47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</row>
    <row r="134" spans="1:25" ht="50.4" x14ac:dyDescent="0.25">
      <c r="A134" s="14">
        <v>116</v>
      </c>
      <c r="B134" s="2" t="s">
        <v>272</v>
      </c>
      <c r="C134" s="2" t="s">
        <v>275</v>
      </c>
      <c r="D134" s="4">
        <v>73.69</v>
      </c>
      <c r="E134" s="5">
        <v>64601</v>
      </c>
      <c r="F134" s="2" t="s">
        <v>276</v>
      </c>
      <c r="G134" s="4">
        <v>2</v>
      </c>
      <c r="H134" s="4">
        <v>594</v>
      </c>
      <c r="I134" s="4">
        <v>26</v>
      </c>
      <c r="J134" s="2">
        <v>2</v>
      </c>
      <c r="K134" s="2">
        <v>3294</v>
      </c>
      <c r="L134" s="2">
        <v>75</v>
      </c>
      <c r="M134" s="4">
        <v>1</v>
      </c>
      <c r="N134" s="4">
        <v>1280</v>
      </c>
      <c r="O134" s="4">
        <v>16</v>
      </c>
      <c r="P134" s="2">
        <v>2</v>
      </c>
      <c r="Q134" s="4">
        <v>20</v>
      </c>
      <c r="R134" s="2">
        <v>709</v>
      </c>
      <c r="S134" s="4">
        <v>39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</row>
    <row r="135" spans="1:25" ht="67.2" x14ac:dyDescent="0.25">
      <c r="A135" s="14">
        <v>117</v>
      </c>
      <c r="B135" s="2" t="s">
        <v>272</v>
      </c>
      <c r="C135" s="2" t="s">
        <v>277</v>
      </c>
      <c r="D135" s="4">
        <v>94.67</v>
      </c>
      <c r="E135" s="5">
        <v>73032</v>
      </c>
      <c r="F135" s="2" t="s">
        <v>278</v>
      </c>
      <c r="G135" s="4">
        <v>4</v>
      </c>
      <c r="H135" s="4">
        <v>1035</v>
      </c>
      <c r="I135" s="4">
        <v>55</v>
      </c>
      <c r="J135" s="2">
        <v>3</v>
      </c>
      <c r="K135" s="2">
        <v>3957</v>
      </c>
      <c r="L135" s="2">
        <v>97</v>
      </c>
      <c r="M135" s="4">
        <v>2</v>
      </c>
      <c r="N135" s="4">
        <v>1356</v>
      </c>
      <c r="O135" s="4">
        <v>37</v>
      </c>
      <c r="P135" s="2">
        <v>2</v>
      </c>
      <c r="Q135" s="4">
        <v>14</v>
      </c>
      <c r="R135" s="2">
        <v>506</v>
      </c>
      <c r="S135" s="4">
        <v>30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</row>
    <row r="136" spans="1:25" ht="33.6" x14ac:dyDescent="0.25">
      <c r="A136" s="14">
        <v>118</v>
      </c>
      <c r="B136" s="2" t="s">
        <v>272</v>
      </c>
      <c r="C136" s="2" t="s">
        <v>279</v>
      </c>
      <c r="D136" s="4">
        <v>47.06</v>
      </c>
      <c r="E136" s="5">
        <v>142494</v>
      </c>
      <c r="F136" s="2" t="s">
        <v>280</v>
      </c>
      <c r="G136" s="4">
        <v>2</v>
      </c>
      <c r="H136" s="4">
        <v>498</v>
      </c>
      <c r="I136" s="4">
        <v>17</v>
      </c>
      <c r="J136" s="2">
        <v>2</v>
      </c>
      <c r="K136" s="2">
        <v>6425</v>
      </c>
      <c r="L136" s="2">
        <v>83</v>
      </c>
      <c r="M136" s="4">
        <v>2</v>
      </c>
      <c r="N136" s="4">
        <v>3613</v>
      </c>
      <c r="O136" s="4">
        <v>41</v>
      </c>
      <c r="P136" s="2">
        <v>6</v>
      </c>
      <c r="Q136" s="4">
        <v>44</v>
      </c>
      <c r="R136" s="2">
        <v>1863</v>
      </c>
      <c r="S136" s="4">
        <v>97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</row>
    <row r="137" spans="1:25" ht="67.2" x14ac:dyDescent="0.25">
      <c r="A137" s="14">
        <v>119</v>
      </c>
      <c r="B137" s="2" t="s">
        <v>272</v>
      </c>
      <c r="C137" s="2" t="s">
        <v>281</v>
      </c>
      <c r="D137" s="4">
        <v>38.229999999999997</v>
      </c>
      <c r="E137" s="5">
        <v>126393</v>
      </c>
      <c r="F137" s="2" t="s">
        <v>282</v>
      </c>
      <c r="G137" s="4">
        <v>4</v>
      </c>
      <c r="H137" s="4">
        <v>991</v>
      </c>
      <c r="I137" s="4">
        <v>54</v>
      </c>
      <c r="J137" s="2">
        <v>7</v>
      </c>
      <c r="K137" s="2">
        <v>11135</v>
      </c>
      <c r="L137" s="2">
        <v>214</v>
      </c>
      <c r="M137" s="4">
        <v>3</v>
      </c>
      <c r="N137" s="4">
        <v>8789</v>
      </c>
      <c r="O137" s="4">
        <v>96</v>
      </c>
      <c r="P137" s="2">
        <v>11</v>
      </c>
      <c r="Q137" s="4">
        <v>54</v>
      </c>
      <c r="R137" s="2">
        <v>1957</v>
      </c>
      <c r="S137" s="4">
        <v>112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</row>
    <row r="138" spans="1:25" ht="33.6" x14ac:dyDescent="0.25">
      <c r="A138" s="14">
        <v>120</v>
      </c>
      <c r="B138" s="2" t="s">
        <v>299</v>
      </c>
      <c r="C138" s="2" t="s">
        <v>300</v>
      </c>
      <c r="D138" s="4">
        <v>120.7</v>
      </c>
      <c r="E138" s="5">
        <v>21238</v>
      </c>
      <c r="F138" s="2" t="s">
        <v>301</v>
      </c>
      <c r="G138" s="4">
        <v>3</v>
      </c>
      <c r="H138" s="4">
        <v>541</v>
      </c>
      <c r="I138" s="4">
        <v>35</v>
      </c>
      <c r="J138" s="2">
        <v>2</v>
      </c>
      <c r="K138" s="2">
        <v>1666</v>
      </c>
      <c r="L138" s="2">
        <v>58</v>
      </c>
      <c r="M138" s="4">
        <v>1</v>
      </c>
      <c r="N138" s="4">
        <v>681</v>
      </c>
      <c r="O138" s="4">
        <v>15</v>
      </c>
      <c r="P138" s="2">
        <v>0</v>
      </c>
      <c r="Q138" s="4">
        <v>6</v>
      </c>
      <c r="R138" s="2">
        <v>252</v>
      </c>
      <c r="S138" s="4">
        <v>13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</row>
    <row r="139" spans="1:25" ht="33.6" x14ac:dyDescent="0.25">
      <c r="A139" s="14">
        <v>121</v>
      </c>
      <c r="B139" s="2" t="s">
        <v>299</v>
      </c>
      <c r="C139" s="2" t="s">
        <v>302</v>
      </c>
      <c r="D139" s="4">
        <v>143.69</v>
      </c>
      <c r="E139" s="5">
        <v>27964</v>
      </c>
      <c r="F139" s="2" t="s">
        <v>303</v>
      </c>
      <c r="G139" s="4">
        <v>3</v>
      </c>
      <c r="H139" s="4">
        <v>908</v>
      </c>
      <c r="I139" s="4">
        <v>36</v>
      </c>
      <c r="J139" s="2">
        <v>2</v>
      </c>
      <c r="K139" s="2">
        <v>2132</v>
      </c>
      <c r="L139" s="2">
        <v>76</v>
      </c>
      <c r="M139" s="4">
        <v>2</v>
      </c>
      <c r="N139" s="4">
        <v>1665</v>
      </c>
      <c r="O139" s="4">
        <v>45</v>
      </c>
      <c r="P139" s="2">
        <v>0</v>
      </c>
      <c r="Q139" s="4">
        <v>9</v>
      </c>
      <c r="R139" s="2">
        <v>302</v>
      </c>
      <c r="S139" s="4">
        <v>21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</row>
    <row r="140" spans="1:25" ht="33.6" x14ac:dyDescent="0.25">
      <c r="A140" s="14">
        <v>122</v>
      </c>
      <c r="B140" s="2" t="s">
        <v>304</v>
      </c>
      <c r="C140" s="2" t="s">
        <v>305</v>
      </c>
      <c r="D140" s="4">
        <v>192.83</v>
      </c>
      <c r="E140" s="5">
        <v>42739</v>
      </c>
      <c r="F140" s="2" t="s">
        <v>306</v>
      </c>
      <c r="G140" s="4">
        <v>3</v>
      </c>
      <c r="H140" s="4">
        <v>1327</v>
      </c>
      <c r="I140" s="4">
        <v>42</v>
      </c>
      <c r="J140" s="2">
        <v>4</v>
      </c>
      <c r="K140" s="2">
        <v>3606</v>
      </c>
      <c r="L140" s="2">
        <v>145</v>
      </c>
      <c r="M140" s="4">
        <v>4</v>
      </c>
      <c r="N140" s="4">
        <v>2977</v>
      </c>
      <c r="O140" s="4">
        <v>94</v>
      </c>
      <c r="P140" s="2">
        <v>2</v>
      </c>
      <c r="Q140" s="4">
        <v>5</v>
      </c>
      <c r="R140" s="2">
        <v>149</v>
      </c>
      <c r="S140" s="4">
        <v>7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</row>
    <row r="141" spans="1:25" ht="33.6" x14ac:dyDescent="0.25">
      <c r="A141" s="14">
        <v>123</v>
      </c>
      <c r="B141" s="2" t="s">
        <v>304</v>
      </c>
      <c r="C141" s="2" t="s">
        <v>307</v>
      </c>
      <c r="D141" s="4">
        <v>128.07</v>
      </c>
      <c r="E141" s="5">
        <v>42470</v>
      </c>
      <c r="F141" s="2" t="s">
        <v>308</v>
      </c>
      <c r="G141" s="4">
        <v>2</v>
      </c>
      <c r="H141" s="4">
        <v>922</v>
      </c>
      <c r="I141" s="4">
        <v>35</v>
      </c>
      <c r="J141" s="2">
        <v>4</v>
      </c>
      <c r="K141" s="2">
        <v>2654</v>
      </c>
      <c r="L141" s="2">
        <v>90</v>
      </c>
      <c r="M141" s="4">
        <v>2</v>
      </c>
      <c r="N141" s="4">
        <v>2011</v>
      </c>
      <c r="O141" s="4">
        <v>55</v>
      </c>
      <c r="P141" s="2">
        <v>4</v>
      </c>
      <c r="Q141" s="4">
        <v>8</v>
      </c>
      <c r="R141" s="2">
        <v>173</v>
      </c>
      <c r="S141" s="4">
        <v>11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</row>
    <row r="142" spans="1:25" ht="16.8" x14ac:dyDescent="0.25">
      <c r="A142" s="14">
        <v>124</v>
      </c>
      <c r="B142" s="2" t="s">
        <v>304</v>
      </c>
      <c r="C142" s="2" t="s">
        <v>309</v>
      </c>
      <c r="D142" s="4">
        <v>123.49</v>
      </c>
      <c r="E142" s="5">
        <v>15803</v>
      </c>
      <c r="F142" s="2" t="s">
        <v>310</v>
      </c>
      <c r="G142" s="4">
        <v>3</v>
      </c>
      <c r="H142" s="4">
        <v>630</v>
      </c>
      <c r="I142" s="4">
        <v>23</v>
      </c>
      <c r="J142" s="2">
        <v>3</v>
      </c>
      <c r="K142" s="2">
        <v>1146</v>
      </c>
      <c r="L142" s="2">
        <v>58</v>
      </c>
      <c r="M142" s="4">
        <v>0</v>
      </c>
      <c r="N142" s="4">
        <v>0</v>
      </c>
      <c r="O142" s="4">
        <v>0</v>
      </c>
      <c r="P142" s="2">
        <v>0</v>
      </c>
      <c r="Q142" s="4">
        <v>0</v>
      </c>
      <c r="R142" s="2">
        <v>0</v>
      </c>
      <c r="S142" s="4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</row>
    <row r="143" spans="1:25" ht="16.8" x14ac:dyDescent="0.25">
      <c r="A143" s="14">
        <v>125</v>
      </c>
      <c r="B143" s="2" t="s">
        <v>304</v>
      </c>
      <c r="C143" s="2" t="s">
        <v>311</v>
      </c>
      <c r="D143" s="4">
        <v>100.04</v>
      </c>
      <c r="E143" s="5">
        <v>17906</v>
      </c>
      <c r="F143" s="2" t="s">
        <v>312</v>
      </c>
      <c r="G143" s="4">
        <v>3</v>
      </c>
      <c r="H143" s="4">
        <v>693</v>
      </c>
      <c r="I143" s="4">
        <v>29</v>
      </c>
      <c r="J143" s="2">
        <v>2</v>
      </c>
      <c r="K143" s="2">
        <v>1303</v>
      </c>
      <c r="L143" s="2">
        <v>19</v>
      </c>
      <c r="M143" s="4">
        <v>1</v>
      </c>
      <c r="N143" s="4">
        <v>517</v>
      </c>
      <c r="O143" s="4">
        <v>20</v>
      </c>
      <c r="P143" s="2">
        <v>0</v>
      </c>
      <c r="Q143" s="4">
        <v>0</v>
      </c>
      <c r="R143" s="2">
        <v>0</v>
      </c>
      <c r="S143" s="4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</row>
    <row r="144" spans="1:25" ht="16.8" x14ac:dyDescent="0.25">
      <c r="A144" s="15"/>
      <c r="B144" s="10" t="s">
        <v>389</v>
      </c>
      <c r="C144" s="10">
        <v>13</v>
      </c>
      <c r="D144" s="11">
        <f>SUM(D145:D157)</f>
        <v>1310.5899999999999</v>
      </c>
      <c r="E144" s="13">
        <f>SUM(E145:E157)</f>
        <v>648014</v>
      </c>
      <c r="F144" s="10"/>
      <c r="G144" s="33">
        <f>SUM(G145:G157)</f>
        <v>34</v>
      </c>
      <c r="H144" s="33">
        <f t="shared" ref="H144:Y144" si="32">SUM(H145:H157)</f>
        <v>12082</v>
      </c>
      <c r="I144" s="33">
        <f t="shared" si="32"/>
        <v>384</v>
      </c>
      <c r="J144" s="33">
        <f t="shared" si="32"/>
        <v>43</v>
      </c>
      <c r="K144" s="33">
        <f t="shared" si="32"/>
        <v>50277</v>
      </c>
      <c r="L144" s="33">
        <f t="shared" si="32"/>
        <v>1291</v>
      </c>
      <c r="M144" s="33">
        <f t="shared" si="32"/>
        <v>26</v>
      </c>
      <c r="N144" s="33">
        <f t="shared" si="32"/>
        <v>33017</v>
      </c>
      <c r="O144" s="33">
        <f t="shared" si="32"/>
        <v>694</v>
      </c>
      <c r="P144" s="33">
        <f t="shared" si="32"/>
        <v>55</v>
      </c>
      <c r="Q144" s="33">
        <f t="shared" si="32"/>
        <v>184</v>
      </c>
      <c r="R144" s="33">
        <f t="shared" si="32"/>
        <v>7188</v>
      </c>
      <c r="S144" s="33">
        <f t="shared" si="32"/>
        <v>380</v>
      </c>
      <c r="T144" s="33">
        <f t="shared" si="32"/>
        <v>2</v>
      </c>
      <c r="U144" s="33">
        <f t="shared" si="32"/>
        <v>318</v>
      </c>
      <c r="V144" s="33">
        <f t="shared" si="32"/>
        <v>17</v>
      </c>
      <c r="W144" s="33">
        <f t="shared" si="32"/>
        <v>1</v>
      </c>
      <c r="X144" s="33">
        <f t="shared" si="32"/>
        <v>42</v>
      </c>
      <c r="Y144" s="33">
        <f t="shared" si="32"/>
        <v>19</v>
      </c>
    </row>
    <row r="145" spans="1:25" ht="33.6" x14ac:dyDescent="0.25">
      <c r="A145" s="14">
        <v>126</v>
      </c>
      <c r="B145" s="2" t="s">
        <v>257</v>
      </c>
      <c r="C145" s="2" t="s">
        <v>258</v>
      </c>
      <c r="D145" s="4">
        <v>33.590000000000003</v>
      </c>
      <c r="E145" s="5">
        <v>79694</v>
      </c>
      <c r="F145" s="2" t="s">
        <v>259</v>
      </c>
      <c r="G145" s="4">
        <v>2</v>
      </c>
      <c r="H145" s="4">
        <v>727</v>
      </c>
      <c r="I145" s="4">
        <v>20</v>
      </c>
      <c r="J145" s="2">
        <v>4</v>
      </c>
      <c r="K145" s="2">
        <v>6119</v>
      </c>
      <c r="L145" s="2">
        <v>105</v>
      </c>
      <c r="M145" s="4">
        <v>1</v>
      </c>
      <c r="N145" s="4">
        <v>2385</v>
      </c>
      <c r="O145" s="4">
        <v>32</v>
      </c>
      <c r="P145" s="2">
        <v>9</v>
      </c>
      <c r="Q145" s="4">
        <v>35</v>
      </c>
      <c r="R145" s="2">
        <v>1191</v>
      </c>
      <c r="S145" s="4">
        <v>70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</row>
    <row r="146" spans="1:25" ht="33.6" x14ac:dyDescent="0.25">
      <c r="A146" s="14">
        <v>127</v>
      </c>
      <c r="B146" s="2" t="s">
        <v>257</v>
      </c>
      <c r="C146" s="2" t="s">
        <v>260</v>
      </c>
      <c r="D146" s="4">
        <v>37.93</v>
      </c>
      <c r="E146" s="5">
        <v>79601</v>
      </c>
      <c r="F146" s="2" t="s">
        <v>261</v>
      </c>
      <c r="G146" s="4">
        <v>1</v>
      </c>
      <c r="H146" s="4">
        <v>446</v>
      </c>
      <c r="I146" s="4">
        <v>13</v>
      </c>
      <c r="J146" s="2">
        <v>3</v>
      </c>
      <c r="K146" s="2">
        <v>7445</v>
      </c>
      <c r="L146" s="2">
        <v>129</v>
      </c>
      <c r="M146" s="4">
        <v>2</v>
      </c>
      <c r="N146" s="4">
        <v>4492</v>
      </c>
      <c r="O146" s="4">
        <v>70</v>
      </c>
      <c r="P146" s="2">
        <v>16</v>
      </c>
      <c r="Q146" s="4">
        <v>40</v>
      </c>
      <c r="R146" s="2">
        <v>1625</v>
      </c>
      <c r="S146" s="4">
        <v>83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</row>
    <row r="147" spans="1:25" ht="67.2" x14ac:dyDescent="0.25">
      <c r="A147" s="14">
        <v>128</v>
      </c>
      <c r="B147" s="2" t="s">
        <v>257</v>
      </c>
      <c r="C147" s="2" t="s">
        <v>262</v>
      </c>
      <c r="D147" s="4">
        <v>34.97</v>
      </c>
      <c r="E147" s="5">
        <v>46142</v>
      </c>
      <c r="F147" s="2" t="s">
        <v>263</v>
      </c>
      <c r="G147" s="4">
        <v>3</v>
      </c>
      <c r="H147" s="4">
        <v>895</v>
      </c>
      <c r="I147" s="4">
        <v>28</v>
      </c>
      <c r="J147" s="2">
        <v>4</v>
      </c>
      <c r="K147" s="2">
        <v>3883</v>
      </c>
      <c r="L147" s="2">
        <v>111</v>
      </c>
      <c r="M147" s="4">
        <v>3</v>
      </c>
      <c r="N147" s="4">
        <v>3964</v>
      </c>
      <c r="O147" s="4">
        <v>101</v>
      </c>
      <c r="P147" s="2">
        <v>1</v>
      </c>
      <c r="Q147" s="4">
        <v>10</v>
      </c>
      <c r="R147" s="2">
        <v>357</v>
      </c>
      <c r="S147" s="4">
        <v>20</v>
      </c>
      <c r="T147" s="18">
        <v>1</v>
      </c>
      <c r="U147" s="18">
        <v>125</v>
      </c>
      <c r="V147" s="18">
        <v>10</v>
      </c>
      <c r="W147" s="18">
        <v>0</v>
      </c>
      <c r="X147" s="18">
        <v>0</v>
      </c>
      <c r="Y147" s="18">
        <v>0</v>
      </c>
    </row>
    <row r="148" spans="1:25" ht="84" x14ac:dyDescent="0.25">
      <c r="A148" s="14">
        <v>129</v>
      </c>
      <c r="B148" s="2" t="s">
        <v>257</v>
      </c>
      <c r="C148" s="2" t="s">
        <v>264</v>
      </c>
      <c r="D148" s="4">
        <v>119.8</v>
      </c>
      <c r="E148" s="5">
        <v>56784</v>
      </c>
      <c r="F148" s="2" t="s">
        <v>265</v>
      </c>
      <c r="G148" s="4">
        <v>3</v>
      </c>
      <c r="H148" s="4">
        <v>920</v>
      </c>
      <c r="I148" s="4">
        <v>26</v>
      </c>
      <c r="J148" s="2">
        <v>3</v>
      </c>
      <c r="K148" s="2">
        <v>3693</v>
      </c>
      <c r="L148" s="2">
        <v>121</v>
      </c>
      <c r="M148" s="4">
        <v>0</v>
      </c>
      <c r="N148" s="4">
        <v>1050</v>
      </c>
      <c r="O148" s="4">
        <v>20</v>
      </c>
      <c r="P148" s="2">
        <v>4</v>
      </c>
      <c r="Q148" s="4">
        <v>15</v>
      </c>
      <c r="R148" s="2">
        <v>550</v>
      </c>
      <c r="S148" s="4">
        <v>29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</row>
    <row r="149" spans="1:25" ht="67.2" x14ac:dyDescent="0.25">
      <c r="A149" s="14">
        <v>130</v>
      </c>
      <c r="B149" s="2" t="s">
        <v>257</v>
      </c>
      <c r="C149" s="2" t="s">
        <v>266</v>
      </c>
      <c r="D149" s="4">
        <v>108</v>
      </c>
      <c r="E149" s="5">
        <v>53387</v>
      </c>
      <c r="F149" s="2" t="s">
        <v>267</v>
      </c>
      <c r="G149" s="4">
        <v>2</v>
      </c>
      <c r="H149" s="4">
        <v>1114</v>
      </c>
      <c r="I149" s="4">
        <v>33</v>
      </c>
      <c r="J149" s="2">
        <v>4</v>
      </c>
      <c r="K149" s="2">
        <v>3528</v>
      </c>
      <c r="L149" s="2">
        <v>110</v>
      </c>
      <c r="M149" s="4">
        <v>2</v>
      </c>
      <c r="N149" s="4">
        <v>2401</v>
      </c>
      <c r="O149" s="4">
        <v>41</v>
      </c>
      <c r="P149" s="2">
        <v>2</v>
      </c>
      <c r="Q149" s="4">
        <v>13</v>
      </c>
      <c r="R149" s="2">
        <v>462</v>
      </c>
      <c r="S149" s="4">
        <v>23</v>
      </c>
      <c r="T149" s="18">
        <v>0</v>
      </c>
      <c r="U149" s="18">
        <v>0</v>
      </c>
      <c r="V149" s="18">
        <v>0</v>
      </c>
      <c r="W149" s="18">
        <v>1</v>
      </c>
      <c r="X149" s="18">
        <v>42</v>
      </c>
      <c r="Y149" s="18">
        <v>19</v>
      </c>
    </row>
    <row r="150" spans="1:25" ht="67.2" x14ac:dyDescent="0.25">
      <c r="A150" s="14">
        <v>131</v>
      </c>
      <c r="B150" s="2" t="s">
        <v>257</v>
      </c>
      <c r="C150" s="2" t="s">
        <v>268</v>
      </c>
      <c r="D150" s="4">
        <v>100.89</v>
      </c>
      <c r="E150" s="5">
        <v>97928</v>
      </c>
      <c r="F150" s="2" t="s">
        <v>269</v>
      </c>
      <c r="G150" s="4">
        <v>4</v>
      </c>
      <c r="H150" s="4">
        <v>1771</v>
      </c>
      <c r="I150" s="4">
        <v>53</v>
      </c>
      <c r="J150" s="2">
        <v>7</v>
      </c>
      <c r="K150" s="2">
        <v>9965</v>
      </c>
      <c r="L150" s="2">
        <v>252</v>
      </c>
      <c r="M150" s="4">
        <v>4</v>
      </c>
      <c r="N150" s="4">
        <v>6795</v>
      </c>
      <c r="O150" s="4">
        <v>133</v>
      </c>
      <c r="P150" s="2">
        <v>13</v>
      </c>
      <c r="Q150" s="4">
        <v>29</v>
      </c>
      <c r="R150" s="2">
        <v>1350</v>
      </c>
      <c r="S150" s="4">
        <v>69</v>
      </c>
      <c r="T150" s="18">
        <v>1</v>
      </c>
      <c r="U150" s="18">
        <v>193</v>
      </c>
      <c r="V150" s="18">
        <v>7</v>
      </c>
      <c r="W150" s="18">
        <v>0</v>
      </c>
      <c r="X150" s="18">
        <v>0</v>
      </c>
      <c r="Y150" s="18">
        <v>0</v>
      </c>
    </row>
    <row r="151" spans="1:25" ht="50.4" x14ac:dyDescent="0.25">
      <c r="A151" s="14">
        <v>132</v>
      </c>
      <c r="B151" s="2" t="s">
        <v>257</v>
      </c>
      <c r="C151" s="2" t="s">
        <v>270</v>
      </c>
      <c r="D151" s="4">
        <v>69.540000000000006</v>
      </c>
      <c r="E151" s="5">
        <v>53916</v>
      </c>
      <c r="F151" s="2" t="s">
        <v>271</v>
      </c>
      <c r="G151" s="4">
        <v>2</v>
      </c>
      <c r="H151" s="4">
        <v>653</v>
      </c>
      <c r="I151" s="4">
        <v>19</v>
      </c>
      <c r="J151" s="2">
        <v>2</v>
      </c>
      <c r="K151" s="2">
        <v>3301</v>
      </c>
      <c r="L151" s="2">
        <v>77</v>
      </c>
      <c r="M151" s="4">
        <v>2</v>
      </c>
      <c r="N151" s="4">
        <v>2320</v>
      </c>
      <c r="O151" s="4">
        <v>52</v>
      </c>
      <c r="P151" s="2">
        <v>3</v>
      </c>
      <c r="Q151" s="4">
        <v>24</v>
      </c>
      <c r="R151" s="2">
        <v>1117</v>
      </c>
      <c r="S151" s="4">
        <v>52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</row>
    <row r="152" spans="1:25" ht="33.6" x14ac:dyDescent="0.25">
      <c r="A152" s="14">
        <v>133</v>
      </c>
      <c r="B152" s="2" t="s">
        <v>313</v>
      </c>
      <c r="C152" s="2" t="s">
        <v>314</v>
      </c>
      <c r="D152" s="4">
        <v>76.56</v>
      </c>
      <c r="E152" s="5">
        <v>24533</v>
      </c>
      <c r="F152" s="2" t="s">
        <v>315</v>
      </c>
      <c r="G152" s="4">
        <v>2</v>
      </c>
      <c r="H152" s="4">
        <v>595</v>
      </c>
      <c r="I152" s="4">
        <v>20</v>
      </c>
      <c r="J152" s="2">
        <v>1</v>
      </c>
      <c r="K152" s="2">
        <v>1814</v>
      </c>
      <c r="L152" s="2">
        <v>57</v>
      </c>
      <c r="M152" s="4">
        <v>2</v>
      </c>
      <c r="N152" s="4">
        <v>1485</v>
      </c>
      <c r="O152" s="4">
        <v>33</v>
      </c>
      <c r="P152" s="2">
        <v>3</v>
      </c>
      <c r="Q152" s="4">
        <v>4</v>
      </c>
      <c r="R152" s="2">
        <v>135</v>
      </c>
      <c r="S152" s="4">
        <v>10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</row>
    <row r="153" spans="1:25" ht="33.6" x14ac:dyDescent="0.25">
      <c r="A153" s="14">
        <v>134</v>
      </c>
      <c r="B153" s="2" t="s">
        <v>313</v>
      </c>
      <c r="C153" s="2" t="s">
        <v>316</v>
      </c>
      <c r="D153" s="4">
        <v>84.09</v>
      </c>
      <c r="E153" s="5">
        <v>42219</v>
      </c>
      <c r="F153" s="2" t="s">
        <v>317</v>
      </c>
      <c r="G153" s="4">
        <v>2</v>
      </c>
      <c r="H153" s="4">
        <v>1316</v>
      </c>
      <c r="I153" s="4">
        <v>36</v>
      </c>
      <c r="J153" s="2">
        <v>2</v>
      </c>
      <c r="K153" s="2">
        <v>2418</v>
      </c>
      <c r="L153" s="2">
        <v>58</v>
      </c>
      <c r="M153" s="4">
        <v>1</v>
      </c>
      <c r="N153" s="4">
        <v>1609</v>
      </c>
      <c r="O153" s="4">
        <v>45</v>
      </c>
      <c r="P153" s="2">
        <v>3</v>
      </c>
      <c r="Q153" s="4">
        <v>7</v>
      </c>
      <c r="R153" s="2">
        <v>330</v>
      </c>
      <c r="S153" s="4">
        <v>16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</row>
    <row r="154" spans="1:25" ht="50.4" x14ac:dyDescent="0.25">
      <c r="A154" s="14">
        <v>135</v>
      </c>
      <c r="B154" s="2" t="s">
        <v>318</v>
      </c>
      <c r="C154" s="2" t="s">
        <v>319</v>
      </c>
      <c r="D154" s="4">
        <v>166.76</v>
      </c>
      <c r="E154" s="5">
        <v>25215</v>
      </c>
      <c r="F154" s="2" t="s">
        <v>320</v>
      </c>
      <c r="G154" s="4">
        <v>2</v>
      </c>
      <c r="H154" s="4">
        <v>720</v>
      </c>
      <c r="I154" s="4">
        <v>28</v>
      </c>
      <c r="J154" s="2">
        <v>1</v>
      </c>
      <c r="K154" s="2">
        <v>1542</v>
      </c>
      <c r="L154" s="2">
        <v>53</v>
      </c>
      <c r="M154" s="4">
        <v>2</v>
      </c>
      <c r="N154" s="4">
        <v>1260</v>
      </c>
      <c r="O154" s="4">
        <v>33</v>
      </c>
      <c r="P154" s="2">
        <v>0</v>
      </c>
      <c r="Q154" s="4">
        <v>1</v>
      </c>
      <c r="R154" s="2">
        <v>4</v>
      </c>
      <c r="S154" s="4">
        <v>1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</row>
    <row r="155" spans="1:25" ht="67.2" x14ac:dyDescent="0.25">
      <c r="A155" s="14">
        <v>136</v>
      </c>
      <c r="B155" s="2" t="s">
        <v>318</v>
      </c>
      <c r="C155" s="2" t="s">
        <v>321</v>
      </c>
      <c r="D155" s="4">
        <v>136.72</v>
      </c>
      <c r="E155" s="5">
        <v>25324</v>
      </c>
      <c r="F155" s="2" t="s">
        <v>322</v>
      </c>
      <c r="G155" s="4">
        <v>3</v>
      </c>
      <c r="H155" s="4">
        <v>597</v>
      </c>
      <c r="I155" s="4">
        <v>23</v>
      </c>
      <c r="J155" s="2">
        <v>5</v>
      </c>
      <c r="K155" s="2">
        <v>1763</v>
      </c>
      <c r="L155" s="2">
        <v>69</v>
      </c>
      <c r="M155" s="4">
        <v>3</v>
      </c>
      <c r="N155" s="4">
        <v>1229</v>
      </c>
      <c r="O155" s="4">
        <v>46</v>
      </c>
      <c r="P155" s="2">
        <v>0</v>
      </c>
      <c r="Q155" s="4">
        <v>1</v>
      </c>
      <c r="R155" s="2">
        <v>6</v>
      </c>
      <c r="S155" s="4">
        <v>1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</row>
    <row r="156" spans="1:25" ht="50.4" x14ac:dyDescent="0.25">
      <c r="A156" s="14">
        <v>137</v>
      </c>
      <c r="B156" s="2" t="s">
        <v>318</v>
      </c>
      <c r="C156" s="2" t="s">
        <v>323</v>
      </c>
      <c r="D156" s="4">
        <v>182.68</v>
      </c>
      <c r="E156" s="5">
        <v>39056</v>
      </c>
      <c r="F156" s="2" t="s">
        <v>324</v>
      </c>
      <c r="G156" s="4">
        <v>5</v>
      </c>
      <c r="H156" s="4">
        <v>1362</v>
      </c>
      <c r="I156" s="4">
        <v>50</v>
      </c>
      <c r="J156" s="2">
        <v>3</v>
      </c>
      <c r="K156" s="2">
        <v>2550</v>
      </c>
      <c r="L156" s="2">
        <v>63</v>
      </c>
      <c r="M156" s="4">
        <v>2</v>
      </c>
      <c r="N156" s="4">
        <v>2206</v>
      </c>
      <c r="O156" s="4">
        <v>45</v>
      </c>
      <c r="P156" s="2">
        <v>1</v>
      </c>
      <c r="Q156" s="4">
        <v>3</v>
      </c>
      <c r="R156" s="2">
        <v>9</v>
      </c>
      <c r="S156" s="4">
        <v>3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</row>
    <row r="157" spans="1:25" ht="50.4" x14ac:dyDescent="0.25">
      <c r="A157" s="14">
        <v>138</v>
      </c>
      <c r="B157" s="2" t="s">
        <v>318</v>
      </c>
      <c r="C157" s="2" t="s">
        <v>325</v>
      </c>
      <c r="D157" s="4">
        <v>159.06</v>
      </c>
      <c r="E157" s="5">
        <v>24215</v>
      </c>
      <c r="F157" s="2" t="s">
        <v>326</v>
      </c>
      <c r="G157" s="4">
        <v>3</v>
      </c>
      <c r="H157" s="4">
        <v>966</v>
      </c>
      <c r="I157" s="4">
        <v>35</v>
      </c>
      <c r="J157" s="2">
        <v>4</v>
      </c>
      <c r="K157" s="2">
        <v>2256</v>
      </c>
      <c r="L157" s="2">
        <v>86</v>
      </c>
      <c r="M157" s="4">
        <v>2</v>
      </c>
      <c r="N157" s="4">
        <v>1821</v>
      </c>
      <c r="O157" s="4">
        <v>43</v>
      </c>
      <c r="P157" s="2">
        <v>0</v>
      </c>
      <c r="Q157" s="4">
        <v>2</v>
      </c>
      <c r="R157" s="2">
        <v>52</v>
      </c>
      <c r="S157" s="4">
        <v>3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</row>
    <row r="158" spans="1:25" ht="16.8" x14ac:dyDescent="0.25">
      <c r="A158" s="15"/>
      <c r="B158" s="10" t="s">
        <v>390</v>
      </c>
      <c r="C158" s="10">
        <v>13</v>
      </c>
      <c r="D158" s="11">
        <f>SUM(D159:D171)</f>
        <v>577.30999999999995</v>
      </c>
      <c r="E158" s="13">
        <f>SUM(E159:E171)</f>
        <v>673004</v>
      </c>
      <c r="F158" s="10"/>
      <c r="G158" s="33">
        <f>SUM(G159:G171)</f>
        <v>53</v>
      </c>
      <c r="H158" s="33">
        <f t="shared" ref="H158:Y158" si="33">SUM(H159:H171)</f>
        <v>17763</v>
      </c>
      <c r="I158" s="33">
        <f t="shared" si="33"/>
        <v>664</v>
      </c>
      <c r="J158" s="33">
        <f t="shared" si="33"/>
        <v>62</v>
      </c>
      <c r="K158" s="33">
        <f t="shared" si="33"/>
        <v>63293</v>
      </c>
      <c r="L158" s="33">
        <f t="shared" si="33"/>
        <v>1859</v>
      </c>
      <c r="M158" s="33">
        <f t="shared" si="33"/>
        <v>40</v>
      </c>
      <c r="N158" s="33">
        <f t="shared" si="33"/>
        <v>48939</v>
      </c>
      <c r="O158" s="33">
        <f t="shared" si="33"/>
        <v>1135</v>
      </c>
      <c r="P158" s="33">
        <f t="shared" si="33"/>
        <v>58</v>
      </c>
      <c r="Q158" s="33">
        <f t="shared" si="33"/>
        <v>193</v>
      </c>
      <c r="R158" s="33">
        <f t="shared" si="33"/>
        <v>21860</v>
      </c>
      <c r="S158" s="33">
        <f t="shared" si="33"/>
        <v>1041</v>
      </c>
      <c r="T158" s="33">
        <f t="shared" si="33"/>
        <v>2</v>
      </c>
      <c r="U158" s="33">
        <f t="shared" si="33"/>
        <v>1666</v>
      </c>
      <c r="V158" s="33">
        <f t="shared" si="33"/>
        <v>71</v>
      </c>
      <c r="W158" s="33">
        <f t="shared" si="33"/>
        <v>0</v>
      </c>
      <c r="X158" s="33">
        <f t="shared" si="33"/>
        <v>685</v>
      </c>
      <c r="Y158" s="33">
        <f t="shared" si="33"/>
        <v>56</v>
      </c>
    </row>
    <row r="159" spans="1:25" ht="33.6" x14ac:dyDescent="0.25">
      <c r="A159" s="14">
        <v>139</v>
      </c>
      <c r="B159" s="2" t="s">
        <v>283</v>
      </c>
      <c r="C159" s="2" t="s">
        <v>284</v>
      </c>
      <c r="D159" s="4">
        <v>16.86</v>
      </c>
      <c r="E159" s="5">
        <v>117413</v>
      </c>
      <c r="F159" s="2" t="s">
        <v>285</v>
      </c>
      <c r="G159" s="4">
        <v>10</v>
      </c>
      <c r="H159" s="4">
        <v>2977</v>
      </c>
      <c r="I159" s="4">
        <v>105</v>
      </c>
      <c r="J159" s="2">
        <v>8</v>
      </c>
      <c r="K159" s="2">
        <v>8189</v>
      </c>
      <c r="L159" s="2">
        <v>258</v>
      </c>
      <c r="M159" s="4">
        <v>6</v>
      </c>
      <c r="N159" s="4">
        <v>6506</v>
      </c>
      <c r="O159" s="4">
        <v>193</v>
      </c>
      <c r="P159" s="2">
        <v>8</v>
      </c>
      <c r="Q159" s="4">
        <v>17</v>
      </c>
      <c r="R159" s="2">
        <v>2305</v>
      </c>
      <c r="S159" s="4">
        <v>114</v>
      </c>
      <c r="T159" s="18">
        <v>1</v>
      </c>
      <c r="U159" s="18">
        <v>382</v>
      </c>
      <c r="V159" s="18">
        <v>19</v>
      </c>
      <c r="W159" s="18">
        <v>0</v>
      </c>
      <c r="X159" s="18">
        <v>202</v>
      </c>
      <c r="Y159" s="18">
        <v>9</v>
      </c>
    </row>
    <row r="160" spans="1:25" ht="33.6" x14ac:dyDescent="0.25">
      <c r="A160" s="14">
        <v>140</v>
      </c>
      <c r="B160" s="2" t="s">
        <v>283</v>
      </c>
      <c r="C160" s="2" t="s">
        <v>286</v>
      </c>
      <c r="D160" s="4">
        <v>11.76</v>
      </c>
      <c r="E160" s="5">
        <v>86420</v>
      </c>
      <c r="F160" s="2" t="s">
        <v>287</v>
      </c>
      <c r="G160" s="4">
        <v>6</v>
      </c>
      <c r="H160" s="4">
        <v>2173</v>
      </c>
      <c r="I160" s="4">
        <v>67</v>
      </c>
      <c r="J160" s="2">
        <v>6</v>
      </c>
      <c r="K160" s="2">
        <v>7687</v>
      </c>
      <c r="L160" s="2">
        <v>219</v>
      </c>
      <c r="M160" s="4">
        <v>4</v>
      </c>
      <c r="N160" s="4">
        <v>6087</v>
      </c>
      <c r="O160" s="4">
        <v>140</v>
      </c>
      <c r="P160" s="2">
        <v>8</v>
      </c>
      <c r="Q160" s="4">
        <v>36</v>
      </c>
      <c r="R160" s="2">
        <v>2356</v>
      </c>
      <c r="S160" s="4">
        <v>135</v>
      </c>
      <c r="T160" s="18">
        <v>1</v>
      </c>
      <c r="U160" s="18">
        <v>909</v>
      </c>
      <c r="V160" s="18">
        <v>30</v>
      </c>
      <c r="W160" s="18">
        <v>0</v>
      </c>
      <c r="X160" s="18">
        <v>186</v>
      </c>
      <c r="Y160" s="18">
        <v>33</v>
      </c>
    </row>
    <row r="161" spans="1:25" ht="16.8" x14ac:dyDescent="0.25">
      <c r="A161" s="14">
        <v>141</v>
      </c>
      <c r="B161" s="2" t="s">
        <v>283</v>
      </c>
      <c r="C161" s="2" t="s">
        <v>288</v>
      </c>
      <c r="D161" s="4">
        <v>19.7</v>
      </c>
      <c r="E161" s="5">
        <v>76281</v>
      </c>
      <c r="F161" s="2" t="s">
        <v>289</v>
      </c>
      <c r="G161" s="4">
        <v>6</v>
      </c>
      <c r="H161" s="4">
        <v>2261</v>
      </c>
      <c r="I161" s="4">
        <v>73</v>
      </c>
      <c r="J161" s="2">
        <v>6</v>
      </c>
      <c r="K161" s="2">
        <v>7465</v>
      </c>
      <c r="L161" s="2">
        <v>196</v>
      </c>
      <c r="M161" s="4">
        <v>3</v>
      </c>
      <c r="N161" s="4">
        <v>6788</v>
      </c>
      <c r="O161" s="4">
        <v>114</v>
      </c>
      <c r="P161" s="2">
        <v>7</v>
      </c>
      <c r="Q161" s="4">
        <v>46</v>
      </c>
      <c r="R161" s="2">
        <v>4112</v>
      </c>
      <c r="S161" s="4">
        <v>168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</row>
    <row r="162" spans="1:25" ht="16.8" x14ac:dyDescent="0.25">
      <c r="A162" s="14">
        <v>142</v>
      </c>
      <c r="B162" s="2" t="s">
        <v>283</v>
      </c>
      <c r="C162" s="2" t="s">
        <v>290</v>
      </c>
      <c r="D162" s="4">
        <v>47.35</v>
      </c>
      <c r="E162" s="5">
        <v>52589</v>
      </c>
      <c r="F162" s="2" t="s">
        <v>291</v>
      </c>
      <c r="G162" s="4">
        <v>5</v>
      </c>
      <c r="H162" s="4">
        <v>1768</v>
      </c>
      <c r="I162" s="4">
        <v>65</v>
      </c>
      <c r="J162" s="2">
        <v>5</v>
      </c>
      <c r="K162" s="2">
        <v>6830</v>
      </c>
      <c r="L162" s="2">
        <v>186</v>
      </c>
      <c r="M162" s="4">
        <v>3</v>
      </c>
      <c r="N162" s="4">
        <v>5677</v>
      </c>
      <c r="O162" s="4">
        <v>124</v>
      </c>
      <c r="P162" s="2">
        <v>4</v>
      </c>
      <c r="Q162" s="4">
        <v>24</v>
      </c>
      <c r="R162" s="2">
        <v>1613</v>
      </c>
      <c r="S162" s="4">
        <v>79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</row>
    <row r="163" spans="1:25" ht="16.8" x14ac:dyDescent="0.25">
      <c r="A163" s="14">
        <v>143</v>
      </c>
      <c r="B163" s="2" t="s">
        <v>292</v>
      </c>
      <c r="C163" s="2" t="s">
        <v>293</v>
      </c>
      <c r="D163" s="4">
        <v>41.22</v>
      </c>
      <c r="E163" s="5">
        <v>31457</v>
      </c>
      <c r="F163" s="2" t="s">
        <v>294</v>
      </c>
      <c r="G163" s="4">
        <v>3</v>
      </c>
      <c r="H163" s="4">
        <v>1072</v>
      </c>
      <c r="I163" s="4">
        <v>46</v>
      </c>
      <c r="J163" s="2">
        <v>4</v>
      </c>
      <c r="K163" s="2">
        <v>2521</v>
      </c>
      <c r="L163" s="2">
        <v>89</v>
      </c>
      <c r="M163" s="4">
        <v>3</v>
      </c>
      <c r="N163" s="4">
        <v>1856</v>
      </c>
      <c r="O163" s="4">
        <v>59</v>
      </c>
      <c r="P163" s="2">
        <v>3</v>
      </c>
      <c r="Q163" s="4">
        <v>1</v>
      </c>
      <c r="R163" s="2">
        <v>460</v>
      </c>
      <c r="S163" s="4">
        <v>16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</row>
    <row r="164" spans="1:25" ht="33.6" x14ac:dyDescent="0.25">
      <c r="A164" s="14">
        <v>144</v>
      </c>
      <c r="B164" s="2" t="s">
        <v>292</v>
      </c>
      <c r="C164" s="2" t="s">
        <v>295</v>
      </c>
      <c r="D164" s="4">
        <v>15.55</v>
      </c>
      <c r="E164" s="5">
        <v>52265</v>
      </c>
      <c r="F164" s="2" t="s">
        <v>296</v>
      </c>
      <c r="G164" s="4">
        <v>5</v>
      </c>
      <c r="H164" s="4">
        <v>2255</v>
      </c>
      <c r="I164" s="4">
        <v>83</v>
      </c>
      <c r="J164" s="2">
        <v>5</v>
      </c>
      <c r="K164" s="2">
        <v>4950</v>
      </c>
      <c r="L164" s="2">
        <v>135</v>
      </c>
      <c r="M164" s="4">
        <v>5</v>
      </c>
      <c r="N164" s="4">
        <v>3980</v>
      </c>
      <c r="O164" s="4">
        <v>110</v>
      </c>
      <c r="P164" s="2">
        <v>6</v>
      </c>
      <c r="Q164" s="4">
        <v>6</v>
      </c>
      <c r="R164" s="2">
        <v>1816</v>
      </c>
      <c r="S164" s="4">
        <v>86</v>
      </c>
      <c r="T164" s="18">
        <v>0</v>
      </c>
      <c r="U164" s="18">
        <v>375</v>
      </c>
      <c r="V164" s="18">
        <v>22</v>
      </c>
      <c r="W164" s="18">
        <v>0</v>
      </c>
      <c r="X164" s="18">
        <v>297</v>
      </c>
      <c r="Y164" s="18">
        <v>14</v>
      </c>
    </row>
    <row r="165" spans="1:25" ht="16.8" x14ac:dyDescent="0.25">
      <c r="A165" s="14">
        <v>145</v>
      </c>
      <c r="B165" s="2" t="s">
        <v>292</v>
      </c>
      <c r="C165" s="2" t="s">
        <v>297</v>
      </c>
      <c r="D165" s="4">
        <v>34.700000000000003</v>
      </c>
      <c r="E165" s="5">
        <v>41130</v>
      </c>
      <c r="F165" s="2" t="s">
        <v>298</v>
      </c>
      <c r="G165" s="4">
        <v>5</v>
      </c>
      <c r="H165" s="4">
        <v>1356</v>
      </c>
      <c r="I165" s="4">
        <v>66</v>
      </c>
      <c r="J165" s="2">
        <v>5</v>
      </c>
      <c r="K165" s="2">
        <v>3463</v>
      </c>
      <c r="L165" s="2">
        <v>90</v>
      </c>
      <c r="M165" s="4">
        <v>3</v>
      </c>
      <c r="N165" s="4">
        <v>2684</v>
      </c>
      <c r="O165" s="4">
        <v>68</v>
      </c>
      <c r="P165" s="2">
        <v>1</v>
      </c>
      <c r="Q165" s="4">
        <v>4</v>
      </c>
      <c r="R165" s="2">
        <v>148</v>
      </c>
      <c r="S165" s="4">
        <v>10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</row>
    <row r="166" spans="1:25" ht="16.8" x14ac:dyDescent="0.25">
      <c r="A166" s="14">
        <v>146</v>
      </c>
      <c r="B166" s="2" t="s">
        <v>283</v>
      </c>
      <c r="C166" s="2" t="s">
        <v>327</v>
      </c>
      <c r="D166" s="4">
        <v>56.5</v>
      </c>
      <c r="E166" s="5">
        <v>17767</v>
      </c>
      <c r="F166" s="2" t="s">
        <v>327</v>
      </c>
      <c r="G166" s="4">
        <v>2</v>
      </c>
      <c r="H166" s="4">
        <v>648</v>
      </c>
      <c r="I166" s="4">
        <v>27</v>
      </c>
      <c r="J166" s="2">
        <v>2</v>
      </c>
      <c r="K166" s="2">
        <v>1316</v>
      </c>
      <c r="L166" s="2">
        <v>53</v>
      </c>
      <c r="M166" s="4">
        <v>1</v>
      </c>
      <c r="N166" s="4">
        <v>993</v>
      </c>
      <c r="O166" s="4">
        <v>23</v>
      </c>
      <c r="P166" s="2">
        <v>1</v>
      </c>
      <c r="Q166" s="4">
        <v>2</v>
      </c>
      <c r="R166" s="2">
        <v>100</v>
      </c>
      <c r="S166" s="4">
        <v>7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>
        <v>0</v>
      </c>
    </row>
    <row r="167" spans="1:25" ht="16.8" x14ac:dyDescent="0.25">
      <c r="A167" s="14">
        <v>147</v>
      </c>
      <c r="B167" s="2" t="s">
        <v>328</v>
      </c>
      <c r="C167" s="2" t="s">
        <v>329</v>
      </c>
      <c r="D167" s="4">
        <v>65.64</v>
      </c>
      <c r="E167" s="5">
        <v>25438</v>
      </c>
      <c r="F167" s="2" t="s">
        <v>330</v>
      </c>
      <c r="G167" s="4">
        <v>3</v>
      </c>
      <c r="H167" s="4">
        <v>742</v>
      </c>
      <c r="I167" s="4">
        <v>30</v>
      </c>
      <c r="J167" s="2">
        <v>3</v>
      </c>
      <c r="K167" s="2">
        <v>1959</v>
      </c>
      <c r="L167" s="2">
        <v>64</v>
      </c>
      <c r="M167" s="4">
        <v>2</v>
      </c>
      <c r="N167" s="4">
        <v>1391</v>
      </c>
      <c r="O167" s="4">
        <v>44</v>
      </c>
      <c r="P167" s="2">
        <v>1</v>
      </c>
      <c r="Q167" s="4">
        <v>3</v>
      </c>
      <c r="R167" s="2">
        <v>442</v>
      </c>
      <c r="S167" s="4">
        <v>21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</row>
    <row r="168" spans="1:25" ht="16.8" x14ac:dyDescent="0.25">
      <c r="A168" s="14">
        <v>148</v>
      </c>
      <c r="B168" s="2" t="s">
        <v>328</v>
      </c>
      <c r="C168" s="2" t="s">
        <v>367</v>
      </c>
      <c r="D168" s="4">
        <v>51.86</v>
      </c>
      <c r="E168" s="5">
        <v>30297</v>
      </c>
      <c r="F168" s="2" t="s">
        <v>368</v>
      </c>
      <c r="G168" s="4">
        <v>2</v>
      </c>
      <c r="H168" s="4">
        <v>452</v>
      </c>
      <c r="I168" s="4">
        <v>20</v>
      </c>
      <c r="J168" s="2">
        <v>4</v>
      </c>
      <c r="K168" s="2">
        <v>2205</v>
      </c>
      <c r="L168" s="2">
        <v>84</v>
      </c>
      <c r="M168" s="4">
        <v>2</v>
      </c>
      <c r="N168" s="4">
        <v>2125</v>
      </c>
      <c r="O168" s="4">
        <v>56</v>
      </c>
      <c r="P168" s="2">
        <v>0</v>
      </c>
      <c r="Q168" s="4">
        <v>6</v>
      </c>
      <c r="R168" s="2">
        <v>434</v>
      </c>
      <c r="S168" s="4">
        <v>23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</row>
    <row r="169" spans="1:25" ht="16.8" x14ac:dyDescent="0.25">
      <c r="A169" s="14">
        <v>149</v>
      </c>
      <c r="B169" s="2" t="s">
        <v>328</v>
      </c>
      <c r="C169" s="2" t="s">
        <v>369</v>
      </c>
      <c r="D169" s="4">
        <v>83.62</v>
      </c>
      <c r="E169" s="5">
        <v>29363</v>
      </c>
      <c r="F169" s="2" t="s">
        <v>370</v>
      </c>
      <c r="G169" s="4">
        <v>2</v>
      </c>
      <c r="H169" s="4">
        <v>331</v>
      </c>
      <c r="I169" s="4">
        <v>20</v>
      </c>
      <c r="J169" s="2">
        <v>3</v>
      </c>
      <c r="K169" s="2">
        <v>2928</v>
      </c>
      <c r="L169" s="2">
        <v>94</v>
      </c>
      <c r="M169" s="4">
        <v>2</v>
      </c>
      <c r="N169" s="4">
        <v>1760</v>
      </c>
      <c r="O169" s="4">
        <v>50</v>
      </c>
      <c r="P169" s="2">
        <v>5</v>
      </c>
      <c r="Q169" s="4">
        <v>5</v>
      </c>
      <c r="R169" s="2">
        <v>1429</v>
      </c>
      <c r="S169" s="4">
        <v>63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</row>
    <row r="170" spans="1:25" ht="16.8" x14ac:dyDescent="0.25">
      <c r="A170" s="14">
        <v>150</v>
      </c>
      <c r="B170" s="2" t="s">
        <v>328</v>
      </c>
      <c r="C170" s="2" t="s">
        <v>371</v>
      </c>
      <c r="D170" s="4">
        <v>70.92</v>
      </c>
      <c r="E170" s="5">
        <v>78641</v>
      </c>
      <c r="F170" s="2" t="s">
        <v>372</v>
      </c>
      <c r="G170" s="4">
        <v>2</v>
      </c>
      <c r="H170" s="4">
        <v>1079</v>
      </c>
      <c r="I170" s="4">
        <v>32</v>
      </c>
      <c r="J170" s="2">
        <v>7</v>
      </c>
      <c r="K170" s="2">
        <v>10406</v>
      </c>
      <c r="L170" s="2">
        <v>285</v>
      </c>
      <c r="M170" s="4">
        <v>4</v>
      </c>
      <c r="N170" s="4">
        <v>6890</v>
      </c>
      <c r="O170" s="4">
        <v>104</v>
      </c>
      <c r="P170" s="2">
        <v>13</v>
      </c>
      <c r="Q170" s="4">
        <v>31</v>
      </c>
      <c r="R170" s="2">
        <v>5327</v>
      </c>
      <c r="S170" s="4">
        <v>266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</row>
    <row r="171" spans="1:25" ht="16.8" x14ac:dyDescent="0.25">
      <c r="A171" s="14">
        <v>151</v>
      </c>
      <c r="B171" s="2" t="s">
        <v>328</v>
      </c>
      <c r="C171" s="2" t="s">
        <v>373</v>
      </c>
      <c r="D171" s="4">
        <v>61.63</v>
      </c>
      <c r="E171" s="5">
        <v>33943</v>
      </c>
      <c r="F171" s="2" t="s">
        <v>374</v>
      </c>
      <c r="G171" s="4">
        <v>2</v>
      </c>
      <c r="H171" s="4">
        <v>649</v>
      </c>
      <c r="I171" s="4">
        <v>30</v>
      </c>
      <c r="J171" s="2">
        <v>4</v>
      </c>
      <c r="K171" s="2">
        <v>3374</v>
      </c>
      <c r="L171" s="2">
        <v>106</v>
      </c>
      <c r="M171" s="4">
        <v>2</v>
      </c>
      <c r="N171" s="4">
        <v>2202</v>
      </c>
      <c r="O171" s="4">
        <v>50</v>
      </c>
      <c r="P171" s="2">
        <v>1</v>
      </c>
      <c r="Q171" s="4">
        <v>12</v>
      </c>
      <c r="R171" s="2">
        <v>1318</v>
      </c>
      <c r="S171" s="4">
        <v>53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</row>
    <row r="172" spans="1:25" ht="16.8" x14ac:dyDescent="0.25">
      <c r="A172" s="15"/>
      <c r="B172" s="10" t="s">
        <v>391</v>
      </c>
      <c r="C172" s="10">
        <v>17</v>
      </c>
      <c r="D172" s="11">
        <f>SUM(D173:D189)</f>
        <v>1413.6</v>
      </c>
      <c r="E172" s="13">
        <f>SUM(E173:E189)</f>
        <v>640901</v>
      </c>
      <c r="F172" s="10"/>
      <c r="G172" s="33">
        <f>SUM(G173:G189)</f>
        <v>66</v>
      </c>
      <c r="H172" s="33">
        <f t="shared" ref="H172:Y172" si="34">SUM(H173:H189)</f>
        <v>19455</v>
      </c>
      <c r="I172" s="33">
        <f t="shared" si="34"/>
        <v>778</v>
      </c>
      <c r="J172" s="33">
        <f t="shared" si="34"/>
        <v>74</v>
      </c>
      <c r="K172" s="33">
        <f t="shared" si="34"/>
        <v>48022</v>
      </c>
      <c r="L172" s="33">
        <f t="shared" si="34"/>
        <v>1610</v>
      </c>
      <c r="M172" s="33">
        <f t="shared" si="34"/>
        <v>51</v>
      </c>
      <c r="N172" s="33">
        <f t="shared" si="34"/>
        <v>35274</v>
      </c>
      <c r="O172" s="33">
        <f t="shared" si="34"/>
        <v>1144</v>
      </c>
      <c r="P172" s="33">
        <f t="shared" si="34"/>
        <v>16</v>
      </c>
      <c r="Q172" s="33">
        <f t="shared" si="34"/>
        <v>90</v>
      </c>
      <c r="R172" s="33">
        <f t="shared" si="34"/>
        <v>7506</v>
      </c>
      <c r="S172" s="33">
        <f t="shared" si="34"/>
        <v>314</v>
      </c>
      <c r="T172" s="33">
        <f t="shared" si="34"/>
        <v>1</v>
      </c>
      <c r="U172" s="33">
        <f t="shared" si="34"/>
        <v>100</v>
      </c>
      <c r="V172" s="33">
        <f t="shared" si="34"/>
        <v>11</v>
      </c>
      <c r="W172" s="33">
        <f t="shared" si="34"/>
        <v>0</v>
      </c>
      <c r="X172" s="33">
        <f t="shared" si="34"/>
        <v>0</v>
      </c>
      <c r="Y172" s="33">
        <f t="shared" si="34"/>
        <v>0</v>
      </c>
    </row>
    <row r="173" spans="1:25" ht="33.6" x14ac:dyDescent="0.25">
      <c r="A173" s="14">
        <v>152</v>
      </c>
      <c r="B173" s="2" t="s">
        <v>331</v>
      </c>
      <c r="C173" s="2" t="s">
        <v>332</v>
      </c>
      <c r="D173" s="4">
        <v>27.93</v>
      </c>
      <c r="E173" s="5">
        <v>109149</v>
      </c>
      <c r="F173" s="2" t="s">
        <v>333</v>
      </c>
      <c r="G173" s="4">
        <v>8</v>
      </c>
      <c r="H173" s="4">
        <v>2371</v>
      </c>
      <c r="I173" s="4">
        <v>93</v>
      </c>
      <c r="J173" s="2">
        <v>14</v>
      </c>
      <c r="K173" s="2">
        <v>9087</v>
      </c>
      <c r="L173" s="2">
        <v>299</v>
      </c>
      <c r="M173" s="4">
        <v>7</v>
      </c>
      <c r="N173" s="4">
        <v>6785</v>
      </c>
      <c r="O173" s="4">
        <v>160</v>
      </c>
      <c r="P173" s="2">
        <v>3</v>
      </c>
      <c r="Q173" s="4">
        <v>18</v>
      </c>
      <c r="R173" s="2">
        <v>1800</v>
      </c>
      <c r="S173" s="4">
        <v>68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</row>
    <row r="174" spans="1:25" ht="16.8" x14ac:dyDescent="0.25">
      <c r="A174" s="14">
        <v>153</v>
      </c>
      <c r="B174" s="2" t="s">
        <v>331</v>
      </c>
      <c r="C174" s="2" t="s">
        <v>334</v>
      </c>
      <c r="D174" s="4">
        <v>51.44</v>
      </c>
      <c r="E174" s="5">
        <v>48048</v>
      </c>
      <c r="F174" s="2" t="s">
        <v>335</v>
      </c>
      <c r="G174" s="4">
        <v>5</v>
      </c>
      <c r="H174" s="4">
        <v>1402</v>
      </c>
      <c r="I174" s="4">
        <v>49</v>
      </c>
      <c r="J174" s="2">
        <v>4</v>
      </c>
      <c r="K174" s="2">
        <v>3172</v>
      </c>
      <c r="L174" s="2">
        <v>108</v>
      </c>
      <c r="M174" s="4">
        <v>4</v>
      </c>
      <c r="N174" s="4">
        <v>2444</v>
      </c>
      <c r="O174" s="4">
        <v>90</v>
      </c>
      <c r="P174" s="2">
        <v>1</v>
      </c>
      <c r="Q174" s="4">
        <v>7</v>
      </c>
      <c r="R174" s="2">
        <v>511</v>
      </c>
      <c r="S174" s="4">
        <v>27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</row>
    <row r="175" spans="1:25" ht="16.8" x14ac:dyDescent="0.25">
      <c r="A175" s="14">
        <v>154</v>
      </c>
      <c r="B175" s="2" t="s">
        <v>331</v>
      </c>
      <c r="C175" s="2" t="s">
        <v>336</v>
      </c>
      <c r="D175" s="4">
        <v>70.44</v>
      </c>
      <c r="E175" s="5">
        <v>43615</v>
      </c>
      <c r="F175" s="2" t="s">
        <v>337</v>
      </c>
      <c r="G175" s="4">
        <v>5</v>
      </c>
      <c r="H175" s="4">
        <v>1545</v>
      </c>
      <c r="I175" s="4">
        <v>70</v>
      </c>
      <c r="J175" s="2">
        <v>7</v>
      </c>
      <c r="K175" s="2">
        <v>3246</v>
      </c>
      <c r="L175" s="2">
        <v>68</v>
      </c>
      <c r="M175" s="4">
        <v>4</v>
      </c>
      <c r="N175" s="4">
        <v>2370</v>
      </c>
      <c r="O175" s="4">
        <v>68</v>
      </c>
      <c r="P175" s="2">
        <v>1</v>
      </c>
      <c r="Q175" s="4">
        <v>7</v>
      </c>
      <c r="R175" s="2">
        <v>203</v>
      </c>
      <c r="S175" s="4">
        <v>13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</row>
    <row r="176" spans="1:25" ht="33.6" x14ac:dyDescent="0.25">
      <c r="A176" s="14">
        <v>155</v>
      </c>
      <c r="B176" s="2" t="s">
        <v>331</v>
      </c>
      <c r="C176" s="2" t="s">
        <v>338</v>
      </c>
      <c r="D176" s="4">
        <v>119.77</v>
      </c>
      <c r="E176" s="5">
        <v>43862</v>
      </c>
      <c r="F176" s="2" t="s">
        <v>339</v>
      </c>
      <c r="G176" s="4">
        <v>5</v>
      </c>
      <c r="H176" s="4">
        <v>1628</v>
      </c>
      <c r="I176" s="4">
        <v>64</v>
      </c>
      <c r="J176" s="2">
        <v>4</v>
      </c>
      <c r="K176" s="2">
        <v>3149</v>
      </c>
      <c r="L176" s="2">
        <v>107</v>
      </c>
      <c r="M176" s="4">
        <v>4</v>
      </c>
      <c r="N176" s="4">
        <v>2500</v>
      </c>
      <c r="O176" s="4">
        <v>82</v>
      </c>
      <c r="P176" s="2">
        <v>0</v>
      </c>
      <c r="Q176" s="4">
        <v>6</v>
      </c>
      <c r="R176" s="2">
        <v>317</v>
      </c>
      <c r="S176" s="4">
        <v>19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</row>
    <row r="177" spans="1:25" ht="33.6" x14ac:dyDescent="0.25">
      <c r="A177" s="14">
        <v>156</v>
      </c>
      <c r="B177" s="2" t="s">
        <v>340</v>
      </c>
      <c r="C177" s="2" t="s">
        <v>341</v>
      </c>
      <c r="D177" s="4">
        <v>65.67</v>
      </c>
      <c r="E177" s="5">
        <v>27819</v>
      </c>
      <c r="F177" s="2" t="s">
        <v>342</v>
      </c>
      <c r="G177" s="4">
        <v>2</v>
      </c>
      <c r="H177" s="4">
        <v>695</v>
      </c>
      <c r="I177" s="4">
        <v>23</v>
      </c>
      <c r="J177" s="2">
        <v>3</v>
      </c>
      <c r="K177" s="2">
        <v>1871</v>
      </c>
      <c r="L177" s="2">
        <v>54</v>
      </c>
      <c r="M177" s="4">
        <v>2</v>
      </c>
      <c r="N177" s="4">
        <v>1390</v>
      </c>
      <c r="O177" s="4">
        <v>42</v>
      </c>
      <c r="P177" s="2"/>
      <c r="Q177" s="4">
        <v>5</v>
      </c>
      <c r="R177" s="2">
        <v>264</v>
      </c>
      <c r="S177" s="4">
        <v>12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</row>
    <row r="178" spans="1:25" ht="33.6" x14ac:dyDescent="0.25">
      <c r="A178" s="14">
        <v>157</v>
      </c>
      <c r="B178" s="2" t="s">
        <v>340</v>
      </c>
      <c r="C178" s="2" t="s">
        <v>343</v>
      </c>
      <c r="D178" s="4">
        <v>69.3</v>
      </c>
      <c r="E178" s="5">
        <v>49065</v>
      </c>
      <c r="F178" s="2" t="s">
        <v>344</v>
      </c>
      <c r="G178" s="4">
        <v>5</v>
      </c>
      <c r="H178" s="4">
        <v>1725</v>
      </c>
      <c r="I178" s="4">
        <v>56</v>
      </c>
      <c r="J178" s="2">
        <v>4</v>
      </c>
      <c r="K178" s="2">
        <v>4000</v>
      </c>
      <c r="L178" s="2">
        <v>112</v>
      </c>
      <c r="M178" s="4">
        <v>4</v>
      </c>
      <c r="N178" s="4">
        <v>2560</v>
      </c>
      <c r="O178" s="4">
        <v>98</v>
      </c>
      <c r="P178" s="2">
        <v>2</v>
      </c>
      <c r="Q178" s="4">
        <v>12</v>
      </c>
      <c r="R178" s="2">
        <v>818</v>
      </c>
      <c r="S178" s="4">
        <v>34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</row>
    <row r="179" spans="1:25" ht="33.6" x14ac:dyDescent="0.25">
      <c r="A179" s="14">
        <v>158</v>
      </c>
      <c r="B179" s="2" t="s">
        <v>340</v>
      </c>
      <c r="C179" s="2" t="s">
        <v>345</v>
      </c>
      <c r="D179" s="4">
        <v>63.92</v>
      </c>
      <c r="E179" s="5">
        <v>33369</v>
      </c>
      <c r="F179" s="2" t="s">
        <v>346</v>
      </c>
      <c r="G179" s="4">
        <v>3</v>
      </c>
      <c r="H179" s="4">
        <v>1146</v>
      </c>
      <c r="I179" s="4">
        <v>41</v>
      </c>
      <c r="J179" s="2">
        <v>3</v>
      </c>
      <c r="K179" s="2">
        <v>2151</v>
      </c>
      <c r="L179" s="2">
        <v>64</v>
      </c>
      <c r="M179" s="4">
        <v>3</v>
      </c>
      <c r="N179" s="4">
        <v>1444</v>
      </c>
      <c r="O179" s="4">
        <v>87</v>
      </c>
      <c r="P179" s="2"/>
      <c r="Q179" s="4">
        <v>1</v>
      </c>
      <c r="R179" s="2">
        <v>10</v>
      </c>
      <c r="S179" s="4">
        <v>1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</row>
    <row r="180" spans="1:25" ht="33.6" x14ac:dyDescent="0.25">
      <c r="A180" s="14">
        <v>159</v>
      </c>
      <c r="B180" s="2" t="s">
        <v>340</v>
      </c>
      <c r="C180" s="2" t="s">
        <v>347</v>
      </c>
      <c r="D180" s="4">
        <v>84.66</v>
      </c>
      <c r="E180" s="5">
        <v>28240</v>
      </c>
      <c r="F180" s="2" t="s">
        <v>348</v>
      </c>
      <c r="G180" s="4">
        <v>4</v>
      </c>
      <c r="H180" s="4">
        <v>1133</v>
      </c>
      <c r="I180" s="4">
        <v>41</v>
      </c>
      <c r="J180" s="2">
        <v>4</v>
      </c>
      <c r="K180" s="2">
        <v>1985</v>
      </c>
      <c r="L180" s="2">
        <v>64</v>
      </c>
      <c r="M180" s="4">
        <v>2</v>
      </c>
      <c r="N180" s="4">
        <v>1519</v>
      </c>
      <c r="O180" s="4">
        <v>51</v>
      </c>
      <c r="P180" s="2"/>
      <c r="Q180" s="4">
        <v>3</v>
      </c>
      <c r="R180" s="2">
        <v>197</v>
      </c>
      <c r="S180" s="4">
        <v>9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</row>
    <row r="181" spans="1:25" ht="33.6" x14ac:dyDescent="0.25">
      <c r="A181" s="14">
        <v>160</v>
      </c>
      <c r="B181" s="2" t="s">
        <v>340</v>
      </c>
      <c r="C181" s="2" t="s">
        <v>349</v>
      </c>
      <c r="D181" s="4">
        <v>66.959999999999994</v>
      </c>
      <c r="E181" s="5">
        <v>34262</v>
      </c>
      <c r="F181" s="2" t="s">
        <v>350</v>
      </c>
      <c r="G181" s="4">
        <v>3</v>
      </c>
      <c r="H181" s="4">
        <v>734</v>
      </c>
      <c r="I181" s="4">
        <v>30</v>
      </c>
      <c r="J181" s="2">
        <v>3</v>
      </c>
      <c r="K181" s="2">
        <v>2361</v>
      </c>
      <c r="L181" s="2">
        <v>68</v>
      </c>
      <c r="M181" s="4">
        <v>3</v>
      </c>
      <c r="N181" s="4">
        <v>1693</v>
      </c>
      <c r="O181" s="4">
        <v>66</v>
      </c>
      <c r="P181" s="2">
        <v>2</v>
      </c>
      <c r="Q181" s="4">
        <v>4</v>
      </c>
      <c r="R181" s="2">
        <v>637</v>
      </c>
      <c r="S181" s="4">
        <v>23</v>
      </c>
      <c r="T181" s="18">
        <v>1</v>
      </c>
      <c r="U181" s="18">
        <v>100</v>
      </c>
      <c r="V181" s="18">
        <v>11</v>
      </c>
      <c r="W181" s="18">
        <v>0</v>
      </c>
      <c r="X181" s="18">
        <v>0</v>
      </c>
      <c r="Y181" s="18">
        <v>0</v>
      </c>
    </row>
    <row r="182" spans="1:25" ht="33.6" x14ac:dyDescent="0.25">
      <c r="A182" s="14">
        <v>161</v>
      </c>
      <c r="B182" s="2" t="s">
        <v>340</v>
      </c>
      <c r="C182" s="2" t="s">
        <v>351</v>
      </c>
      <c r="D182" s="4">
        <v>73.81</v>
      </c>
      <c r="E182" s="5">
        <v>27368</v>
      </c>
      <c r="F182" s="2" t="s">
        <v>352</v>
      </c>
      <c r="G182" s="4">
        <v>3</v>
      </c>
      <c r="H182" s="4">
        <v>538</v>
      </c>
      <c r="I182" s="4">
        <v>22</v>
      </c>
      <c r="J182" s="2">
        <v>3</v>
      </c>
      <c r="K182" s="2">
        <v>2042</v>
      </c>
      <c r="L182" s="2">
        <v>59</v>
      </c>
      <c r="M182" s="4">
        <v>3</v>
      </c>
      <c r="N182" s="4">
        <v>1482</v>
      </c>
      <c r="O182" s="4">
        <v>56</v>
      </c>
      <c r="P182" s="2">
        <v>1</v>
      </c>
      <c r="Q182" s="4"/>
      <c r="R182" s="2">
        <v>428</v>
      </c>
      <c r="S182" s="4">
        <v>13</v>
      </c>
      <c r="T182" s="18"/>
      <c r="U182" s="18"/>
      <c r="V182" s="18"/>
      <c r="W182" s="18">
        <v>0</v>
      </c>
      <c r="X182" s="18">
        <v>0</v>
      </c>
      <c r="Y182" s="18">
        <v>0</v>
      </c>
    </row>
    <row r="183" spans="1:25" ht="33.6" x14ac:dyDescent="0.25">
      <c r="A183" s="14">
        <v>162</v>
      </c>
      <c r="B183" s="2" t="s">
        <v>353</v>
      </c>
      <c r="C183" s="2" t="s">
        <v>354</v>
      </c>
      <c r="D183" s="4">
        <v>94.51</v>
      </c>
      <c r="E183" s="5">
        <v>51895</v>
      </c>
      <c r="F183" s="2" t="s">
        <v>355</v>
      </c>
      <c r="G183" s="4">
        <v>6</v>
      </c>
      <c r="H183" s="4">
        <v>1850</v>
      </c>
      <c r="I183" s="4">
        <v>69</v>
      </c>
      <c r="J183" s="2">
        <v>6</v>
      </c>
      <c r="K183" s="2">
        <v>3903</v>
      </c>
      <c r="L183" s="2">
        <v>141</v>
      </c>
      <c r="M183" s="4">
        <v>4</v>
      </c>
      <c r="N183" s="4">
        <v>2872</v>
      </c>
      <c r="O183" s="4">
        <v>78</v>
      </c>
      <c r="P183" s="2">
        <v>2</v>
      </c>
      <c r="Q183" s="4">
        <v>10</v>
      </c>
      <c r="R183" s="2">
        <v>686</v>
      </c>
      <c r="S183" s="4">
        <v>31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</row>
    <row r="184" spans="1:25" ht="33.6" x14ac:dyDescent="0.25">
      <c r="A184" s="14">
        <v>163</v>
      </c>
      <c r="B184" s="2" t="s">
        <v>353</v>
      </c>
      <c r="C184" s="2" t="s">
        <v>356</v>
      </c>
      <c r="D184" s="4">
        <v>102.96</v>
      </c>
      <c r="E184" s="5">
        <v>26917</v>
      </c>
      <c r="F184" s="2" t="s">
        <v>357</v>
      </c>
      <c r="G184" s="4">
        <v>3</v>
      </c>
      <c r="H184" s="4">
        <v>727</v>
      </c>
      <c r="I184" s="4">
        <v>27</v>
      </c>
      <c r="J184" s="2">
        <v>3</v>
      </c>
      <c r="K184" s="2">
        <v>1760</v>
      </c>
      <c r="L184" s="2">
        <v>61</v>
      </c>
      <c r="M184" s="4">
        <v>3</v>
      </c>
      <c r="N184" s="4">
        <v>1380</v>
      </c>
      <c r="O184" s="4">
        <v>49</v>
      </c>
      <c r="P184" s="2">
        <v>1</v>
      </c>
      <c r="Q184" s="4">
        <v>3</v>
      </c>
      <c r="R184" s="2">
        <v>334</v>
      </c>
      <c r="S184" s="4">
        <v>11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</row>
    <row r="185" spans="1:25" ht="33.6" x14ac:dyDescent="0.25">
      <c r="A185" s="14">
        <v>164</v>
      </c>
      <c r="B185" s="2" t="s">
        <v>353</v>
      </c>
      <c r="C185" s="2" t="s">
        <v>358</v>
      </c>
      <c r="D185" s="4">
        <v>87.06</v>
      </c>
      <c r="E185" s="5">
        <v>26054</v>
      </c>
      <c r="F185" s="2" t="s">
        <v>358</v>
      </c>
      <c r="G185" s="4">
        <v>2</v>
      </c>
      <c r="H185" s="4">
        <v>787</v>
      </c>
      <c r="I185" s="4">
        <v>27</v>
      </c>
      <c r="J185" s="2">
        <v>3</v>
      </c>
      <c r="K185" s="2">
        <v>2158</v>
      </c>
      <c r="L185" s="2">
        <v>89</v>
      </c>
      <c r="M185" s="4">
        <v>1</v>
      </c>
      <c r="N185" s="4">
        <v>1445</v>
      </c>
      <c r="O185" s="4">
        <v>45</v>
      </c>
      <c r="P185" s="2">
        <v>1</v>
      </c>
      <c r="Q185" s="4">
        <v>2</v>
      </c>
      <c r="R185" s="2">
        <v>336</v>
      </c>
      <c r="S185" s="4">
        <v>12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</row>
    <row r="186" spans="1:25" ht="33.6" x14ac:dyDescent="0.25">
      <c r="A186" s="14">
        <v>165</v>
      </c>
      <c r="B186" s="2" t="s">
        <v>353</v>
      </c>
      <c r="C186" s="2" t="s">
        <v>359</v>
      </c>
      <c r="D186" s="4">
        <v>136.27000000000001</v>
      </c>
      <c r="E186" s="5">
        <v>36174</v>
      </c>
      <c r="F186" s="2" t="s">
        <v>360</v>
      </c>
      <c r="G186" s="4">
        <v>6</v>
      </c>
      <c r="H186" s="4">
        <v>1201</v>
      </c>
      <c r="I186" s="4">
        <v>48</v>
      </c>
      <c r="J186" s="2">
        <v>6</v>
      </c>
      <c r="K186" s="2">
        <v>2496</v>
      </c>
      <c r="L186" s="2">
        <v>113</v>
      </c>
      <c r="M186" s="4">
        <v>3</v>
      </c>
      <c r="N186" s="4">
        <v>1886</v>
      </c>
      <c r="O186" s="4">
        <v>58</v>
      </c>
      <c r="P186" s="2"/>
      <c r="Q186" s="4">
        <v>6</v>
      </c>
      <c r="R186" s="2">
        <v>325</v>
      </c>
      <c r="S186" s="4">
        <v>16</v>
      </c>
      <c r="T186" s="18">
        <v>0</v>
      </c>
      <c r="U186" s="18">
        <v>0</v>
      </c>
      <c r="V186" s="18">
        <v>0</v>
      </c>
      <c r="W186" s="18">
        <v>0</v>
      </c>
      <c r="X186" s="18">
        <v>0</v>
      </c>
      <c r="Y186" s="18">
        <v>0</v>
      </c>
    </row>
    <row r="187" spans="1:25" ht="33.6" x14ac:dyDescent="0.25">
      <c r="A187" s="14">
        <v>166</v>
      </c>
      <c r="B187" s="2" t="s">
        <v>353</v>
      </c>
      <c r="C187" s="2" t="s">
        <v>361</v>
      </c>
      <c r="D187" s="4">
        <v>99.28</v>
      </c>
      <c r="E187" s="5">
        <v>25995</v>
      </c>
      <c r="F187" s="2" t="s">
        <v>361</v>
      </c>
      <c r="G187" s="4">
        <v>1</v>
      </c>
      <c r="H187" s="4">
        <v>381</v>
      </c>
      <c r="I187" s="4">
        <v>50</v>
      </c>
      <c r="J187" s="2">
        <v>3</v>
      </c>
      <c r="K187" s="2">
        <v>2086</v>
      </c>
      <c r="L187" s="2">
        <v>84</v>
      </c>
      <c r="M187" s="4">
        <v>1</v>
      </c>
      <c r="N187" s="4">
        <v>1658</v>
      </c>
      <c r="O187" s="4">
        <v>52</v>
      </c>
      <c r="P187" s="2">
        <v>2</v>
      </c>
      <c r="Q187" s="4">
        <v>3</v>
      </c>
      <c r="R187" s="2">
        <v>521</v>
      </c>
      <c r="S187" s="4">
        <v>19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</row>
    <row r="188" spans="1:25" ht="33.6" x14ac:dyDescent="0.25">
      <c r="A188" s="14">
        <v>167</v>
      </c>
      <c r="B188" s="2" t="s">
        <v>353</v>
      </c>
      <c r="C188" s="2" t="s">
        <v>362</v>
      </c>
      <c r="D188" s="4">
        <v>123.83</v>
      </c>
      <c r="E188" s="5">
        <v>22567</v>
      </c>
      <c r="F188" s="2" t="s">
        <v>363</v>
      </c>
      <c r="G188" s="4">
        <v>2</v>
      </c>
      <c r="H188" s="4">
        <v>591</v>
      </c>
      <c r="I188" s="4">
        <v>20</v>
      </c>
      <c r="J188" s="2">
        <v>3</v>
      </c>
      <c r="K188" s="2">
        <v>1496</v>
      </c>
      <c r="L188" s="2">
        <v>80</v>
      </c>
      <c r="M188" s="4">
        <v>2</v>
      </c>
      <c r="N188" s="4">
        <v>1099</v>
      </c>
      <c r="O188" s="4">
        <v>36</v>
      </c>
      <c r="P188" s="2"/>
      <c r="Q188" s="4">
        <v>3</v>
      </c>
      <c r="R188" s="2">
        <v>119</v>
      </c>
      <c r="S188" s="4">
        <v>6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</row>
    <row r="189" spans="1:25" ht="16.8" x14ac:dyDescent="0.25">
      <c r="A189" s="14">
        <v>168</v>
      </c>
      <c r="B189" s="2" t="s">
        <v>364</v>
      </c>
      <c r="C189" s="2" t="s">
        <v>365</v>
      </c>
      <c r="D189" s="4">
        <v>75.790000000000006</v>
      </c>
      <c r="E189" s="5">
        <v>6502</v>
      </c>
      <c r="F189" s="2" t="s">
        <v>366</v>
      </c>
      <c r="G189" s="4">
        <v>3</v>
      </c>
      <c r="H189" s="4">
        <v>1001</v>
      </c>
      <c r="I189" s="4">
        <v>48</v>
      </c>
      <c r="J189" s="2">
        <v>1</v>
      </c>
      <c r="K189" s="2">
        <v>1059</v>
      </c>
      <c r="L189" s="2">
        <v>39</v>
      </c>
      <c r="M189" s="4">
        <v>1</v>
      </c>
      <c r="N189" s="4">
        <v>747</v>
      </c>
      <c r="O189" s="4">
        <v>26</v>
      </c>
      <c r="P189" s="2">
        <v>0</v>
      </c>
      <c r="Q189" s="4">
        <v>0</v>
      </c>
      <c r="R189" s="2">
        <v>0</v>
      </c>
      <c r="S189" s="4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</row>
    <row r="190" spans="1:25" ht="15.75" customHeight="1" x14ac:dyDescent="0.25">
      <c r="F190" s="8"/>
    </row>
    <row r="191" spans="1:25" ht="15.75" customHeight="1" x14ac:dyDescent="0.25">
      <c r="F191" s="8"/>
    </row>
    <row r="192" spans="1:25" ht="15.75" customHeight="1" x14ac:dyDescent="0.25">
      <c r="F192" s="8"/>
    </row>
    <row r="193" spans="6:6" ht="15.75" customHeight="1" x14ac:dyDescent="0.25">
      <c r="F193" s="8"/>
    </row>
    <row r="194" spans="6:6" ht="15.75" customHeight="1" x14ac:dyDescent="0.25">
      <c r="F194" s="8"/>
    </row>
    <row r="195" spans="6:6" ht="15.75" customHeight="1" x14ac:dyDescent="0.25">
      <c r="F195" s="8"/>
    </row>
    <row r="196" spans="6:6" ht="15.75" customHeight="1" x14ac:dyDescent="0.25">
      <c r="F196" s="8"/>
    </row>
    <row r="197" spans="6:6" ht="15.75" customHeight="1" x14ac:dyDescent="0.25">
      <c r="F197" s="8"/>
    </row>
    <row r="198" spans="6:6" ht="15.75" customHeight="1" x14ac:dyDescent="0.25">
      <c r="F198" s="8"/>
    </row>
    <row r="199" spans="6:6" ht="15.75" customHeight="1" x14ac:dyDescent="0.25">
      <c r="F199" s="8"/>
    </row>
    <row r="200" spans="6:6" ht="15.75" customHeight="1" x14ac:dyDescent="0.25">
      <c r="F200" s="8"/>
    </row>
    <row r="201" spans="6:6" ht="15.75" customHeight="1" x14ac:dyDescent="0.25">
      <c r="F201" s="8"/>
    </row>
    <row r="202" spans="6:6" ht="15.75" customHeight="1" x14ac:dyDescent="0.25">
      <c r="F202" s="8"/>
    </row>
    <row r="203" spans="6:6" ht="15.75" customHeight="1" x14ac:dyDescent="0.25">
      <c r="F203" s="8"/>
    </row>
    <row r="204" spans="6:6" ht="15.75" customHeight="1" x14ac:dyDescent="0.25">
      <c r="F204" s="8"/>
    </row>
    <row r="205" spans="6:6" ht="15.75" customHeight="1" x14ac:dyDescent="0.25">
      <c r="F205" s="8"/>
    </row>
    <row r="206" spans="6:6" ht="15.75" customHeight="1" x14ac:dyDescent="0.25">
      <c r="F206" s="8"/>
    </row>
    <row r="207" spans="6:6" ht="15.75" customHeight="1" x14ac:dyDescent="0.25">
      <c r="F207" s="8"/>
    </row>
    <row r="208" spans="6:6" ht="15.75" customHeight="1" x14ac:dyDescent="0.25">
      <c r="F208" s="8"/>
    </row>
    <row r="209" spans="6:6" ht="15.75" customHeight="1" x14ac:dyDescent="0.25">
      <c r="F209" s="8"/>
    </row>
    <row r="210" spans="6:6" ht="15.75" customHeight="1" x14ac:dyDescent="0.25">
      <c r="F210" s="8"/>
    </row>
    <row r="211" spans="6:6" ht="15.75" customHeight="1" x14ac:dyDescent="0.25">
      <c r="F211" s="8"/>
    </row>
    <row r="212" spans="6:6" ht="15.75" customHeight="1" x14ac:dyDescent="0.25">
      <c r="F212" s="8"/>
    </row>
    <row r="213" spans="6:6" ht="15.75" customHeight="1" x14ac:dyDescent="0.25">
      <c r="F213" s="8"/>
    </row>
    <row r="214" spans="6:6" ht="15.75" customHeight="1" x14ac:dyDescent="0.25">
      <c r="F214" s="8"/>
    </row>
    <row r="215" spans="6:6" ht="15.75" customHeight="1" x14ac:dyDescent="0.25">
      <c r="F215" s="8"/>
    </row>
    <row r="216" spans="6:6" ht="15.75" customHeight="1" x14ac:dyDescent="0.25">
      <c r="F216" s="8"/>
    </row>
    <row r="217" spans="6:6" ht="15.75" customHeight="1" x14ac:dyDescent="0.25">
      <c r="F217" s="8"/>
    </row>
    <row r="218" spans="6:6" ht="15.75" customHeight="1" x14ac:dyDescent="0.25">
      <c r="F218" s="8"/>
    </row>
    <row r="219" spans="6:6" ht="15.75" customHeight="1" x14ac:dyDescent="0.25">
      <c r="F219" s="8"/>
    </row>
    <row r="220" spans="6:6" ht="15.75" customHeight="1" x14ac:dyDescent="0.25">
      <c r="F220" s="8"/>
    </row>
    <row r="221" spans="6:6" ht="15.75" customHeight="1" x14ac:dyDescent="0.25">
      <c r="F221" s="8"/>
    </row>
    <row r="222" spans="6:6" ht="15.75" customHeight="1" x14ac:dyDescent="0.25">
      <c r="F222" s="8"/>
    </row>
    <row r="223" spans="6:6" ht="15.75" customHeight="1" x14ac:dyDescent="0.25">
      <c r="F223" s="8"/>
    </row>
    <row r="224" spans="6:6" ht="15.75" customHeight="1" x14ac:dyDescent="0.25">
      <c r="F224" s="8"/>
    </row>
    <row r="225" spans="6:6" ht="15.75" customHeight="1" x14ac:dyDescent="0.25">
      <c r="F225" s="8"/>
    </row>
    <row r="226" spans="6:6" ht="15.75" customHeight="1" x14ac:dyDescent="0.25">
      <c r="F226" s="8"/>
    </row>
    <row r="227" spans="6:6" ht="15.75" customHeight="1" x14ac:dyDescent="0.25">
      <c r="F227" s="8"/>
    </row>
    <row r="228" spans="6:6" ht="15.75" customHeight="1" x14ac:dyDescent="0.25">
      <c r="F228" s="8"/>
    </row>
    <row r="229" spans="6:6" ht="15.75" customHeight="1" x14ac:dyDescent="0.25">
      <c r="F229" s="8"/>
    </row>
    <row r="230" spans="6:6" ht="15.75" customHeight="1" x14ac:dyDescent="0.25">
      <c r="F230" s="8"/>
    </row>
    <row r="231" spans="6:6" ht="15.75" customHeight="1" x14ac:dyDescent="0.25">
      <c r="F231" s="8"/>
    </row>
    <row r="232" spans="6:6" ht="15.75" customHeight="1" x14ac:dyDescent="0.25">
      <c r="F232" s="8"/>
    </row>
    <row r="233" spans="6:6" ht="15.75" customHeight="1" x14ac:dyDescent="0.25">
      <c r="F233" s="8"/>
    </row>
    <row r="234" spans="6:6" ht="15.75" customHeight="1" x14ac:dyDescent="0.25">
      <c r="F234" s="8"/>
    </row>
    <row r="235" spans="6:6" ht="15.75" customHeight="1" x14ac:dyDescent="0.25">
      <c r="F235" s="8"/>
    </row>
    <row r="236" spans="6:6" ht="15.75" customHeight="1" x14ac:dyDescent="0.25">
      <c r="F236" s="8"/>
    </row>
    <row r="237" spans="6:6" ht="15.75" customHeight="1" x14ac:dyDescent="0.25">
      <c r="F237" s="8"/>
    </row>
    <row r="238" spans="6:6" ht="15.75" customHeight="1" x14ac:dyDescent="0.25">
      <c r="F238" s="8"/>
    </row>
    <row r="239" spans="6:6" ht="15.75" customHeight="1" x14ac:dyDescent="0.25">
      <c r="F239" s="8"/>
    </row>
    <row r="240" spans="6:6" ht="15.75" customHeight="1" x14ac:dyDescent="0.25">
      <c r="F240" s="8"/>
    </row>
    <row r="241" spans="6:6" ht="15.75" customHeight="1" x14ac:dyDescent="0.25">
      <c r="F241" s="8"/>
    </row>
    <row r="242" spans="6:6" ht="15.75" customHeight="1" x14ac:dyDescent="0.25">
      <c r="F242" s="8"/>
    </row>
    <row r="243" spans="6:6" ht="15.75" customHeight="1" x14ac:dyDescent="0.25">
      <c r="F243" s="8"/>
    </row>
    <row r="244" spans="6:6" ht="15.75" customHeight="1" x14ac:dyDescent="0.25">
      <c r="F244" s="8"/>
    </row>
    <row r="245" spans="6:6" ht="15.75" customHeight="1" x14ac:dyDescent="0.25">
      <c r="F245" s="8"/>
    </row>
    <row r="246" spans="6:6" ht="15.75" customHeight="1" x14ac:dyDescent="0.25">
      <c r="F246" s="8"/>
    </row>
    <row r="247" spans="6:6" ht="15.75" customHeight="1" x14ac:dyDescent="0.25">
      <c r="F247" s="8"/>
    </row>
    <row r="248" spans="6:6" ht="15.75" customHeight="1" x14ac:dyDescent="0.25">
      <c r="F248" s="8"/>
    </row>
    <row r="249" spans="6:6" ht="15.75" customHeight="1" x14ac:dyDescent="0.25">
      <c r="F249" s="8"/>
    </row>
    <row r="250" spans="6:6" ht="15.75" customHeight="1" x14ac:dyDescent="0.25">
      <c r="F250" s="8"/>
    </row>
    <row r="251" spans="6:6" ht="15.75" customHeight="1" x14ac:dyDescent="0.25">
      <c r="F251" s="8"/>
    </row>
    <row r="252" spans="6:6" ht="15.75" customHeight="1" x14ac:dyDescent="0.25">
      <c r="F252" s="8"/>
    </row>
    <row r="253" spans="6:6" ht="15.75" customHeight="1" x14ac:dyDescent="0.25">
      <c r="F253" s="8"/>
    </row>
    <row r="254" spans="6:6" ht="15.75" customHeight="1" x14ac:dyDescent="0.25">
      <c r="F254" s="8"/>
    </row>
    <row r="255" spans="6:6" ht="15.75" customHeight="1" x14ac:dyDescent="0.25">
      <c r="F255" s="8"/>
    </row>
    <row r="256" spans="6:6" ht="15.75" customHeight="1" x14ac:dyDescent="0.25">
      <c r="F256" s="8"/>
    </row>
    <row r="257" spans="6:6" ht="15.75" customHeight="1" x14ac:dyDescent="0.25">
      <c r="F257" s="8"/>
    </row>
    <row r="258" spans="6:6" ht="15.75" customHeight="1" x14ac:dyDescent="0.25">
      <c r="F258" s="8"/>
    </row>
    <row r="259" spans="6:6" ht="15.75" customHeight="1" x14ac:dyDescent="0.25">
      <c r="F259" s="8"/>
    </row>
    <row r="260" spans="6:6" ht="15.75" customHeight="1" x14ac:dyDescent="0.25">
      <c r="F260" s="8"/>
    </row>
    <row r="261" spans="6:6" ht="15.75" customHeight="1" x14ac:dyDescent="0.25">
      <c r="F261" s="8"/>
    </row>
    <row r="262" spans="6:6" ht="15.75" customHeight="1" x14ac:dyDescent="0.25">
      <c r="F262" s="8"/>
    </row>
    <row r="263" spans="6:6" ht="15.75" customHeight="1" x14ac:dyDescent="0.25">
      <c r="F263" s="8"/>
    </row>
    <row r="264" spans="6:6" ht="15.75" customHeight="1" x14ac:dyDescent="0.25">
      <c r="F264" s="8"/>
    </row>
    <row r="265" spans="6:6" ht="15.75" customHeight="1" x14ac:dyDescent="0.25">
      <c r="F265" s="8"/>
    </row>
    <row r="266" spans="6:6" ht="15.75" customHeight="1" x14ac:dyDescent="0.25">
      <c r="F266" s="8"/>
    </row>
    <row r="267" spans="6:6" ht="15.75" customHeight="1" x14ac:dyDescent="0.25">
      <c r="F267" s="8"/>
    </row>
    <row r="268" spans="6:6" ht="15.75" customHeight="1" x14ac:dyDescent="0.25">
      <c r="F268" s="8"/>
    </row>
    <row r="269" spans="6:6" ht="15.75" customHeight="1" x14ac:dyDescent="0.25">
      <c r="F269" s="8"/>
    </row>
    <row r="270" spans="6:6" ht="15.75" customHeight="1" x14ac:dyDescent="0.25">
      <c r="F270" s="8"/>
    </row>
    <row r="271" spans="6:6" ht="15.75" customHeight="1" x14ac:dyDescent="0.25">
      <c r="F271" s="8"/>
    </row>
    <row r="272" spans="6:6" ht="15.75" customHeight="1" x14ac:dyDescent="0.25">
      <c r="F272" s="8"/>
    </row>
    <row r="273" spans="6:6" ht="15.75" customHeight="1" x14ac:dyDescent="0.25">
      <c r="F273" s="8"/>
    </row>
    <row r="274" spans="6:6" ht="15.75" customHeight="1" x14ac:dyDescent="0.25">
      <c r="F274" s="8"/>
    </row>
    <row r="275" spans="6:6" ht="15.75" customHeight="1" x14ac:dyDescent="0.25">
      <c r="F275" s="8"/>
    </row>
    <row r="276" spans="6:6" ht="15.75" customHeight="1" x14ac:dyDescent="0.25">
      <c r="F276" s="8"/>
    </row>
    <row r="277" spans="6:6" ht="15.75" customHeight="1" x14ac:dyDescent="0.25">
      <c r="F277" s="8"/>
    </row>
    <row r="278" spans="6:6" ht="15.75" customHeight="1" x14ac:dyDescent="0.25">
      <c r="F278" s="8"/>
    </row>
    <row r="279" spans="6:6" ht="15.75" customHeight="1" x14ac:dyDescent="0.25">
      <c r="F279" s="8"/>
    </row>
    <row r="280" spans="6:6" ht="15.75" customHeight="1" x14ac:dyDescent="0.25">
      <c r="F280" s="8"/>
    </row>
    <row r="281" spans="6:6" ht="15.75" customHeight="1" x14ac:dyDescent="0.25">
      <c r="F281" s="8"/>
    </row>
    <row r="282" spans="6:6" ht="15.75" customHeight="1" x14ac:dyDescent="0.25">
      <c r="F282" s="8"/>
    </row>
    <row r="283" spans="6:6" ht="15.75" customHeight="1" x14ac:dyDescent="0.25">
      <c r="F283" s="8"/>
    </row>
    <row r="284" spans="6:6" ht="15.75" customHeight="1" x14ac:dyDescent="0.25">
      <c r="F284" s="8"/>
    </row>
    <row r="285" spans="6:6" ht="15.75" customHeight="1" x14ac:dyDescent="0.25">
      <c r="F285" s="8"/>
    </row>
    <row r="286" spans="6:6" ht="15.75" customHeight="1" x14ac:dyDescent="0.25">
      <c r="F286" s="8"/>
    </row>
    <row r="287" spans="6:6" ht="15.75" customHeight="1" x14ac:dyDescent="0.25">
      <c r="F287" s="8"/>
    </row>
    <row r="288" spans="6:6" ht="15.75" customHeight="1" x14ac:dyDescent="0.25">
      <c r="F288" s="8"/>
    </row>
    <row r="289" spans="6:6" ht="15.75" customHeight="1" x14ac:dyDescent="0.25">
      <c r="F289" s="8"/>
    </row>
    <row r="290" spans="6:6" ht="15.75" customHeight="1" x14ac:dyDescent="0.25">
      <c r="F290" s="8"/>
    </row>
    <row r="291" spans="6:6" ht="15.75" customHeight="1" x14ac:dyDescent="0.25">
      <c r="F291" s="8"/>
    </row>
    <row r="292" spans="6:6" ht="15.75" customHeight="1" x14ac:dyDescent="0.25">
      <c r="F292" s="8"/>
    </row>
    <row r="293" spans="6:6" ht="15.75" customHeight="1" x14ac:dyDescent="0.25">
      <c r="F293" s="8"/>
    </row>
    <row r="294" spans="6:6" ht="15.75" customHeight="1" x14ac:dyDescent="0.25">
      <c r="F294" s="8"/>
    </row>
    <row r="295" spans="6:6" ht="15.75" customHeight="1" x14ac:dyDescent="0.25">
      <c r="F295" s="8"/>
    </row>
    <row r="296" spans="6:6" ht="15.75" customHeight="1" x14ac:dyDescent="0.25">
      <c r="F296" s="8"/>
    </row>
    <row r="297" spans="6:6" ht="15.75" customHeight="1" x14ac:dyDescent="0.25">
      <c r="F297" s="8"/>
    </row>
    <row r="298" spans="6:6" ht="15.75" customHeight="1" x14ac:dyDescent="0.25">
      <c r="F298" s="8"/>
    </row>
    <row r="299" spans="6:6" ht="15.75" customHeight="1" x14ac:dyDescent="0.25">
      <c r="F299" s="8"/>
    </row>
    <row r="300" spans="6:6" ht="15.75" customHeight="1" x14ac:dyDescent="0.25">
      <c r="F300" s="8"/>
    </row>
    <row r="301" spans="6:6" ht="15.75" customHeight="1" x14ac:dyDescent="0.25">
      <c r="F301" s="8"/>
    </row>
    <row r="302" spans="6:6" ht="15.75" customHeight="1" x14ac:dyDescent="0.25">
      <c r="F302" s="8"/>
    </row>
    <row r="303" spans="6:6" ht="15.75" customHeight="1" x14ac:dyDescent="0.25">
      <c r="F303" s="8"/>
    </row>
    <row r="304" spans="6:6" ht="15.75" customHeight="1" x14ac:dyDescent="0.25">
      <c r="F304" s="8"/>
    </row>
    <row r="305" spans="6:6" ht="15.75" customHeight="1" x14ac:dyDescent="0.25">
      <c r="F305" s="8"/>
    </row>
    <row r="306" spans="6:6" ht="15.75" customHeight="1" x14ac:dyDescent="0.25">
      <c r="F306" s="8"/>
    </row>
    <row r="307" spans="6:6" ht="15.75" customHeight="1" x14ac:dyDescent="0.25">
      <c r="F307" s="8"/>
    </row>
    <row r="308" spans="6:6" ht="15.75" customHeight="1" x14ac:dyDescent="0.25">
      <c r="F308" s="8"/>
    </row>
    <row r="309" spans="6:6" ht="15.75" customHeight="1" x14ac:dyDescent="0.25">
      <c r="F309" s="8"/>
    </row>
    <row r="310" spans="6:6" ht="15.75" customHeight="1" x14ac:dyDescent="0.25">
      <c r="F310" s="8"/>
    </row>
    <row r="311" spans="6:6" ht="15.75" customHeight="1" x14ac:dyDescent="0.25">
      <c r="F311" s="8"/>
    </row>
    <row r="312" spans="6:6" ht="15.75" customHeight="1" x14ac:dyDescent="0.25">
      <c r="F312" s="8"/>
    </row>
    <row r="313" spans="6:6" ht="15.75" customHeight="1" x14ac:dyDescent="0.25">
      <c r="F313" s="8"/>
    </row>
    <row r="314" spans="6:6" ht="15.75" customHeight="1" x14ac:dyDescent="0.25">
      <c r="F314" s="8"/>
    </row>
    <row r="315" spans="6:6" ht="15.75" customHeight="1" x14ac:dyDescent="0.25">
      <c r="F315" s="8"/>
    </row>
    <row r="316" spans="6:6" ht="15.75" customHeight="1" x14ac:dyDescent="0.25">
      <c r="F316" s="8"/>
    </row>
    <row r="317" spans="6:6" ht="15.75" customHeight="1" x14ac:dyDescent="0.25">
      <c r="F317" s="8"/>
    </row>
    <row r="318" spans="6:6" ht="15.75" customHeight="1" x14ac:dyDescent="0.25">
      <c r="F318" s="8"/>
    </row>
    <row r="319" spans="6:6" ht="15.75" customHeight="1" x14ac:dyDescent="0.25">
      <c r="F319" s="8"/>
    </row>
    <row r="320" spans="6:6" ht="15.75" customHeight="1" x14ac:dyDescent="0.25">
      <c r="F320" s="8"/>
    </row>
    <row r="321" spans="6:6" ht="15.75" customHeight="1" x14ac:dyDescent="0.25">
      <c r="F321" s="8"/>
    </row>
    <row r="322" spans="6:6" ht="15.75" customHeight="1" x14ac:dyDescent="0.25">
      <c r="F322" s="8"/>
    </row>
    <row r="323" spans="6:6" ht="15.75" customHeight="1" x14ac:dyDescent="0.25">
      <c r="F323" s="8"/>
    </row>
    <row r="324" spans="6:6" ht="15.75" customHeight="1" x14ac:dyDescent="0.25">
      <c r="F324" s="8"/>
    </row>
    <row r="325" spans="6:6" ht="15.75" customHeight="1" x14ac:dyDescent="0.25">
      <c r="F325" s="8"/>
    </row>
    <row r="326" spans="6:6" ht="15.75" customHeight="1" x14ac:dyDescent="0.25">
      <c r="F326" s="8"/>
    </row>
    <row r="327" spans="6:6" ht="15.75" customHeight="1" x14ac:dyDescent="0.25">
      <c r="F327" s="8"/>
    </row>
    <row r="328" spans="6:6" ht="15.75" customHeight="1" x14ac:dyDescent="0.25">
      <c r="F328" s="8"/>
    </row>
    <row r="329" spans="6:6" ht="15.75" customHeight="1" x14ac:dyDescent="0.25">
      <c r="F329" s="8"/>
    </row>
    <row r="330" spans="6:6" ht="15.75" customHeight="1" x14ac:dyDescent="0.25">
      <c r="F330" s="8"/>
    </row>
    <row r="331" spans="6:6" ht="15.75" customHeight="1" x14ac:dyDescent="0.25">
      <c r="F331" s="8"/>
    </row>
    <row r="332" spans="6:6" ht="15.75" customHeight="1" x14ac:dyDescent="0.25">
      <c r="F332" s="8"/>
    </row>
    <row r="333" spans="6:6" ht="15.75" customHeight="1" x14ac:dyDescent="0.25">
      <c r="F333" s="8"/>
    </row>
    <row r="334" spans="6:6" ht="15.75" customHeight="1" x14ac:dyDescent="0.25">
      <c r="F334" s="8"/>
    </row>
    <row r="335" spans="6:6" ht="15.75" customHeight="1" x14ac:dyDescent="0.25">
      <c r="F335" s="8"/>
    </row>
    <row r="336" spans="6:6" ht="15.75" customHeight="1" x14ac:dyDescent="0.25">
      <c r="F336" s="8"/>
    </row>
    <row r="337" spans="6:6" ht="15.75" customHeight="1" x14ac:dyDescent="0.25">
      <c r="F337" s="8"/>
    </row>
    <row r="338" spans="6:6" ht="15.75" customHeight="1" x14ac:dyDescent="0.25">
      <c r="F338" s="8"/>
    </row>
    <row r="339" spans="6:6" ht="15.75" customHeight="1" x14ac:dyDescent="0.25">
      <c r="F339" s="8"/>
    </row>
    <row r="340" spans="6:6" ht="15.75" customHeight="1" x14ac:dyDescent="0.25">
      <c r="F340" s="8"/>
    </row>
    <row r="341" spans="6:6" ht="15.75" customHeight="1" x14ac:dyDescent="0.25">
      <c r="F341" s="8"/>
    </row>
    <row r="342" spans="6:6" ht="15.75" customHeight="1" x14ac:dyDescent="0.25">
      <c r="F342" s="8"/>
    </row>
    <row r="343" spans="6:6" ht="15.75" customHeight="1" x14ac:dyDescent="0.25">
      <c r="F343" s="8"/>
    </row>
    <row r="344" spans="6:6" ht="15.75" customHeight="1" x14ac:dyDescent="0.25">
      <c r="F344" s="8"/>
    </row>
    <row r="345" spans="6:6" ht="15.75" customHeight="1" x14ac:dyDescent="0.25">
      <c r="F345" s="8"/>
    </row>
    <row r="346" spans="6:6" ht="15.75" customHeight="1" x14ac:dyDescent="0.25">
      <c r="F346" s="8"/>
    </row>
    <row r="347" spans="6:6" ht="15.75" customHeight="1" x14ac:dyDescent="0.25">
      <c r="F347" s="8"/>
    </row>
    <row r="348" spans="6:6" ht="15.75" customHeight="1" x14ac:dyDescent="0.25">
      <c r="F348" s="8"/>
    </row>
    <row r="349" spans="6:6" ht="15.75" customHeight="1" x14ac:dyDescent="0.25">
      <c r="F349" s="8"/>
    </row>
    <row r="350" spans="6:6" ht="15.75" customHeight="1" x14ac:dyDescent="0.25">
      <c r="F350" s="8"/>
    </row>
    <row r="351" spans="6:6" ht="15.75" customHeight="1" x14ac:dyDescent="0.25">
      <c r="F351" s="8"/>
    </row>
    <row r="352" spans="6:6" ht="15.75" customHeight="1" x14ac:dyDescent="0.25">
      <c r="F352" s="8"/>
    </row>
    <row r="353" spans="6:6" ht="15.75" customHeight="1" x14ac:dyDescent="0.25">
      <c r="F353" s="8"/>
    </row>
    <row r="354" spans="6:6" ht="15.75" customHeight="1" x14ac:dyDescent="0.25">
      <c r="F354" s="8"/>
    </row>
    <row r="355" spans="6:6" ht="15.75" customHeight="1" x14ac:dyDescent="0.25">
      <c r="F355" s="8"/>
    </row>
    <row r="356" spans="6:6" ht="15.75" customHeight="1" x14ac:dyDescent="0.25">
      <c r="F356" s="8"/>
    </row>
    <row r="357" spans="6:6" ht="15.75" customHeight="1" x14ac:dyDescent="0.25">
      <c r="F357" s="8"/>
    </row>
    <row r="358" spans="6:6" ht="15.75" customHeight="1" x14ac:dyDescent="0.25">
      <c r="F358" s="8"/>
    </row>
    <row r="359" spans="6:6" ht="15.75" customHeight="1" x14ac:dyDescent="0.25">
      <c r="F359" s="8"/>
    </row>
    <row r="360" spans="6:6" ht="15.75" customHeight="1" x14ac:dyDescent="0.25">
      <c r="F360" s="8"/>
    </row>
    <row r="361" spans="6:6" ht="15.75" customHeight="1" x14ac:dyDescent="0.25">
      <c r="F361" s="8"/>
    </row>
    <row r="362" spans="6:6" ht="15.75" customHeight="1" x14ac:dyDescent="0.25">
      <c r="F362" s="8"/>
    </row>
    <row r="363" spans="6:6" ht="15.75" customHeight="1" x14ac:dyDescent="0.25">
      <c r="F363" s="8"/>
    </row>
    <row r="364" spans="6:6" ht="15.75" customHeight="1" x14ac:dyDescent="0.25">
      <c r="F364" s="8"/>
    </row>
    <row r="365" spans="6:6" ht="15.75" customHeight="1" x14ac:dyDescent="0.25">
      <c r="F365" s="8"/>
    </row>
    <row r="366" spans="6:6" ht="15.75" customHeight="1" x14ac:dyDescent="0.25">
      <c r="F366" s="8"/>
    </row>
    <row r="367" spans="6:6" ht="15.75" customHeight="1" x14ac:dyDescent="0.25">
      <c r="F367" s="8"/>
    </row>
    <row r="368" spans="6:6" ht="15.75" customHeight="1" x14ac:dyDescent="0.25">
      <c r="F368" s="8"/>
    </row>
    <row r="369" spans="6:6" ht="15.75" customHeight="1" x14ac:dyDescent="0.25">
      <c r="F369" s="8"/>
    </row>
    <row r="370" spans="6:6" ht="15.75" customHeight="1" x14ac:dyDescent="0.25">
      <c r="F370" s="8"/>
    </row>
    <row r="371" spans="6:6" ht="15.75" customHeight="1" x14ac:dyDescent="0.25">
      <c r="F371" s="8"/>
    </row>
    <row r="372" spans="6:6" ht="15.75" customHeight="1" x14ac:dyDescent="0.25">
      <c r="F372" s="8"/>
    </row>
    <row r="373" spans="6:6" ht="15.75" customHeight="1" x14ac:dyDescent="0.25">
      <c r="F373" s="8"/>
    </row>
    <row r="374" spans="6:6" ht="15.75" customHeight="1" x14ac:dyDescent="0.25">
      <c r="F374" s="8"/>
    </row>
    <row r="375" spans="6:6" ht="15.75" customHeight="1" x14ac:dyDescent="0.25">
      <c r="F375" s="8"/>
    </row>
    <row r="376" spans="6:6" ht="15.75" customHeight="1" x14ac:dyDescent="0.25">
      <c r="F376" s="8"/>
    </row>
    <row r="377" spans="6:6" ht="15.75" customHeight="1" x14ac:dyDescent="0.25">
      <c r="F377" s="8"/>
    </row>
    <row r="378" spans="6:6" ht="15.75" customHeight="1" x14ac:dyDescent="0.25">
      <c r="F378" s="8"/>
    </row>
    <row r="379" spans="6:6" ht="15.75" customHeight="1" x14ac:dyDescent="0.25">
      <c r="F379" s="8"/>
    </row>
    <row r="380" spans="6:6" ht="15.75" customHeight="1" x14ac:dyDescent="0.25">
      <c r="F380" s="8"/>
    </row>
    <row r="381" spans="6:6" ht="15.75" customHeight="1" x14ac:dyDescent="0.25">
      <c r="F381" s="8"/>
    </row>
    <row r="382" spans="6:6" ht="15.75" customHeight="1" x14ac:dyDescent="0.25">
      <c r="F382" s="8"/>
    </row>
    <row r="383" spans="6:6" ht="15.75" customHeight="1" x14ac:dyDescent="0.25">
      <c r="F383" s="8"/>
    </row>
    <row r="384" spans="6:6" ht="15.75" customHeight="1" x14ac:dyDescent="0.25">
      <c r="F384" s="8"/>
    </row>
    <row r="385" spans="6:6" ht="15.75" customHeight="1" x14ac:dyDescent="0.25">
      <c r="F385" s="8"/>
    </row>
    <row r="386" spans="6:6" ht="15.75" customHeight="1" x14ac:dyDescent="0.25">
      <c r="F386" s="8"/>
    </row>
    <row r="387" spans="6:6" ht="15.75" customHeight="1" x14ac:dyDescent="0.25">
      <c r="F387" s="8"/>
    </row>
    <row r="388" spans="6:6" ht="15.75" customHeight="1" x14ac:dyDescent="0.25">
      <c r="F388" s="8"/>
    </row>
    <row r="389" spans="6:6" ht="15.75" customHeight="1" x14ac:dyDescent="0.25">
      <c r="F389" s="8"/>
    </row>
    <row r="390" spans="6:6" ht="15.75" customHeight="1" x14ac:dyDescent="0.25">
      <c r="F390" s="8"/>
    </row>
    <row r="391" spans="6:6" ht="15.75" customHeight="1" x14ac:dyDescent="0.25">
      <c r="F391" s="8"/>
    </row>
    <row r="392" spans="6:6" ht="15.75" customHeight="1" x14ac:dyDescent="0.25">
      <c r="F392" s="8"/>
    </row>
    <row r="393" spans="6:6" ht="15.75" customHeight="1" x14ac:dyDescent="0.25">
      <c r="F393" s="8"/>
    </row>
    <row r="394" spans="6:6" ht="15.75" customHeight="1" x14ac:dyDescent="0.25">
      <c r="F394" s="8"/>
    </row>
    <row r="395" spans="6:6" ht="15.75" customHeight="1" x14ac:dyDescent="0.25">
      <c r="F395" s="8"/>
    </row>
    <row r="396" spans="6:6" ht="15.75" customHeight="1" x14ac:dyDescent="0.25">
      <c r="F396" s="8"/>
    </row>
    <row r="397" spans="6:6" ht="15.75" customHeight="1" x14ac:dyDescent="0.25">
      <c r="F397" s="8"/>
    </row>
    <row r="398" spans="6:6" ht="15.75" customHeight="1" x14ac:dyDescent="0.25">
      <c r="F398" s="8"/>
    </row>
    <row r="399" spans="6:6" ht="15.75" customHeight="1" x14ac:dyDescent="0.25">
      <c r="F399" s="8"/>
    </row>
    <row r="400" spans="6:6" ht="15.75" customHeight="1" x14ac:dyDescent="0.25">
      <c r="F400" s="8"/>
    </row>
    <row r="401" spans="6:6" ht="15.75" customHeight="1" x14ac:dyDescent="0.25">
      <c r="F401" s="8"/>
    </row>
    <row r="402" spans="6:6" ht="15.75" customHeight="1" x14ac:dyDescent="0.25">
      <c r="F402" s="8"/>
    </row>
    <row r="403" spans="6:6" ht="15.75" customHeight="1" x14ac:dyDescent="0.25">
      <c r="F403" s="8"/>
    </row>
    <row r="404" spans="6:6" ht="15.75" customHeight="1" x14ac:dyDescent="0.25">
      <c r="F404" s="8"/>
    </row>
    <row r="405" spans="6:6" ht="15.75" customHeight="1" x14ac:dyDescent="0.25">
      <c r="F405" s="8"/>
    </row>
    <row r="406" spans="6:6" ht="15.75" customHeight="1" x14ac:dyDescent="0.25">
      <c r="F406" s="8"/>
    </row>
    <row r="407" spans="6:6" ht="15.75" customHeight="1" x14ac:dyDescent="0.25">
      <c r="F407" s="8"/>
    </row>
    <row r="408" spans="6:6" ht="15.75" customHeight="1" x14ac:dyDescent="0.25">
      <c r="F408" s="8"/>
    </row>
    <row r="409" spans="6:6" ht="15.75" customHeight="1" x14ac:dyDescent="0.25">
      <c r="F409" s="8"/>
    </row>
    <row r="410" spans="6:6" ht="15.75" customHeight="1" x14ac:dyDescent="0.25">
      <c r="F410" s="8"/>
    </row>
    <row r="411" spans="6:6" ht="15.75" customHeight="1" x14ac:dyDescent="0.25">
      <c r="F411" s="8"/>
    </row>
    <row r="412" spans="6:6" ht="15.75" customHeight="1" x14ac:dyDescent="0.25">
      <c r="F412" s="8"/>
    </row>
    <row r="413" spans="6:6" ht="15.75" customHeight="1" x14ac:dyDescent="0.25">
      <c r="F413" s="8"/>
    </row>
    <row r="414" spans="6:6" ht="15.75" customHeight="1" x14ac:dyDescent="0.25">
      <c r="F414" s="8"/>
    </row>
    <row r="415" spans="6:6" ht="15.75" customHeight="1" x14ac:dyDescent="0.25">
      <c r="F415" s="8"/>
    </row>
    <row r="416" spans="6:6" ht="15.75" customHeight="1" x14ac:dyDescent="0.25">
      <c r="F416" s="8"/>
    </row>
    <row r="417" spans="6:6" ht="15.75" customHeight="1" x14ac:dyDescent="0.25">
      <c r="F417" s="8"/>
    </row>
    <row r="418" spans="6:6" ht="15.75" customHeight="1" x14ac:dyDescent="0.25">
      <c r="F418" s="8"/>
    </row>
    <row r="419" spans="6:6" ht="15.75" customHeight="1" x14ac:dyDescent="0.25">
      <c r="F419" s="8"/>
    </row>
    <row r="420" spans="6:6" ht="15.75" customHeight="1" x14ac:dyDescent="0.25">
      <c r="F420" s="8"/>
    </row>
    <row r="421" spans="6:6" ht="15.75" customHeight="1" x14ac:dyDescent="0.25">
      <c r="F421" s="8"/>
    </row>
    <row r="422" spans="6:6" ht="15.75" customHeight="1" x14ac:dyDescent="0.25">
      <c r="F422" s="8"/>
    </row>
    <row r="423" spans="6:6" ht="15.75" customHeight="1" x14ac:dyDescent="0.25">
      <c r="F423" s="8"/>
    </row>
    <row r="424" spans="6:6" ht="15.75" customHeight="1" x14ac:dyDescent="0.25">
      <c r="F424" s="8"/>
    </row>
    <row r="425" spans="6:6" ht="15.75" customHeight="1" x14ac:dyDescent="0.25">
      <c r="F425" s="8"/>
    </row>
    <row r="426" spans="6:6" ht="15.75" customHeight="1" x14ac:dyDescent="0.25">
      <c r="F426" s="8"/>
    </row>
    <row r="427" spans="6:6" ht="15.75" customHeight="1" x14ac:dyDescent="0.25">
      <c r="F427" s="8"/>
    </row>
    <row r="428" spans="6:6" ht="15.75" customHeight="1" x14ac:dyDescent="0.25">
      <c r="F428" s="8"/>
    </row>
    <row r="429" spans="6:6" ht="15.75" customHeight="1" x14ac:dyDescent="0.25">
      <c r="F429" s="8"/>
    </row>
    <row r="430" spans="6:6" ht="15.75" customHeight="1" x14ac:dyDescent="0.25">
      <c r="F430" s="8"/>
    </row>
    <row r="431" spans="6:6" ht="15.75" customHeight="1" x14ac:dyDescent="0.25">
      <c r="F431" s="8"/>
    </row>
    <row r="432" spans="6:6" ht="15.75" customHeight="1" x14ac:dyDescent="0.25">
      <c r="F432" s="8"/>
    </row>
    <row r="433" spans="6:6" ht="15.75" customHeight="1" x14ac:dyDescent="0.25">
      <c r="F433" s="8"/>
    </row>
    <row r="434" spans="6:6" ht="15.75" customHeight="1" x14ac:dyDescent="0.25">
      <c r="F434" s="8"/>
    </row>
    <row r="435" spans="6:6" ht="15.75" customHeight="1" x14ac:dyDescent="0.25">
      <c r="F435" s="8"/>
    </row>
    <row r="436" spans="6:6" ht="15.75" customHeight="1" x14ac:dyDescent="0.25">
      <c r="F436" s="8"/>
    </row>
    <row r="437" spans="6:6" ht="15.75" customHeight="1" x14ac:dyDescent="0.25">
      <c r="F437" s="8"/>
    </row>
    <row r="438" spans="6:6" ht="15.75" customHeight="1" x14ac:dyDescent="0.25">
      <c r="F438" s="8"/>
    </row>
    <row r="439" spans="6:6" ht="15.75" customHeight="1" x14ac:dyDescent="0.25">
      <c r="F439" s="8"/>
    </row>
    <row r="440" spans="6:6" ht="15.75" customHeight="1" x14ac:dyDescent="0.25">
      <c r="F440" s="8"/>
    </row>
    <row r="441" spans="6:6" ht="15.75" customHeight="1" x14ac:dyDescent="0.25">
      <c r="F441" s="8"/>
    </row>
    <row r="442" spans="6:6" ht="15.75" customHeight="1" x14ac:dyDescent="0.25">
      <c r="F442" s="8"/>
    </row>
    <row r="443" spans="6:6" ht="15.75" customHeight="1" x14ac:dyDescent="0.25">
      <c r="F443" s="8"/>
    </row>
    <row r="444" spans="6:6" ht="15.75" customHeight="1" x14ac:dyDescent="0.25">
      <c r="F444" s="8"/>
    </row>
    <row r="445" spans="6:6" ht="15.75" customHeight="1" x14ac:dyDescent="0.25">
      <c r="F445" s="8"/>
    </row>
    <row r="446" spans="6:6" ht="15.75" customHeight="1" x14ac:dyDescent="0.25">
      <c r="F446" s="8"/>
    </row>
    <row r="447" spans="6:6" ht="15.75" customHeight="1" x14ac:dyDescent="0.25">
      <c r="F447" s="8"/>
    </row>
    <row r="448" spans="6:6" ht="15.75" customHeight="1" x14ac:dyDescent="0.25">
      <c r="F448" s="8"/>
    </row>
    <row r="449" spans="6:6" ht="15.75" customHeight="1" x14ac:dyDescent="0.25">
      <c r="F449" s="8"/>
    </row>
    <row r="450" spans="6:6" ht="15.75" customHeight="1" x14ac:dyDescent="0.25">
      <c r="F450" s="8"/>
    </row>
    <row r="451" spans="6:6" ht="15.75" customHeight="1" x14ac:dyDescent="0.25">
      <c r="F451" s="8"/>
    </row>
    <row r="452" spans="6:6" ht="15.75" customHeight="1" x14ac:dyDescent="0.25">
      <c r="F452" s="8"/>
    </row>
    <row r="453" spans="6:6" ht="15.75" customHeight="1" x14ac:dyDescent="0.25">
      <c r="F453" s="8"/>
    </row>
    <row r="454" spans="6:6" ht="15.75" customHeight="1" x14ac:dyDescent="0.25">
      <c r="F454" s="8"/>
    </row>
    <row r="455" spans="6:6" ht="15.75" customHeight="1" x14ac:dyDescent="0.25">
      <c r="F455" s="8"/>
    </row>
    <row r="456" spans="6:6" ht="15.75" customHeight="1" x14ac:dyDescent="0.25">
      <c r="F456" s="8"/>
    </row>
    <row r="457" spans="6:6" ht="15.75" customHeight="1" x14ac:dyDescent="0.25">
      <c r="F457" s="8"/>
    </row>
    <row r="458" spans="6:6" ht="15.75" customHeight="1" x14ac:dyDescent="0.25">
      <c r="F458" s="8"/>
    </row>
    <row r="459" spans="6:6" ht="15.75" customHeight="1" x14ac:dyDescent="0.25">
      <c r="F459" s="8"/>
    </row>
    <row r="460" spans="6:6" ht="15.75" customHeight="1" x14ac:dyDescent="0.25">
      <c r="F460" s="8"/>
    </row>
    <row r="461" spans="6:6" ht="15.75" customHeight="1" x14ac:dyDescent="0.25">
      <c r="F461" s="8"/>
    </row>
    <row r="462" spans="6:6" ht="15.75" customHeight="1" x14ac:dyDescent="0.25">
      <c r="F462" s="8"/>
    </row>
    <row r="463" spans="6:6" ht="15.75" customHeight="1" x14ac:dyDescent="0.25">
      <c r="F463" s="8"/>
    </row>
    <row r="464" spans="6:6" ht="15.75" customHeight="1" x14ac:dyDescent="0.25">
      <c r="F464" s="8"/>
    </row>
    <row r="465" spans="6:6" ht="15.75" customHeight="1" x14ac:dyDescent="0.25">
      <c r="F465" s="8"/>
    </row>
    <row r="466" spans="6:6" ht="15.75" customHeight="1" x14ac:dyDescent="0.25">
      <c r="F466" s="8"/>
    </row>
    <row r="467" spans="6:6" ht="15.75" customHeight="1" x14ac:dyDescent="0.25">
      <c r="F467" s="8"/>
    </row>
    <row r="468" spans="6:6" ht="15.75" customHeight="1" x14ac:dyDescent="0.25">
      <c r="F468" s="8"/>
    </row>
    <row r="469" spans="6:6" ht="15.75" customHeight="1" x14ac:dyDescent="0.25">
      <c r="F469" s="8"/>
    </row>
    <row r="470" spans="6:6" ht="15.75" customHeight="1" x14ac:dyDescent="0.25">
      <c r="F470" s="8"/>
    </row>
    <row r="471" spans="6:6" ht="15.75" customHeight="1" x14ac:dyDescent="0.25">
      <c r="F471" s="8"/>
    </row>
    <row r="472" spans="6:6" ht="15.75" customHeight="1" x14ac:dyDescent="0.25">
      <c r="F472" s="8"/>
    </row>
    <row r="473" spans="6:6" ht="15.75" customHeight="1" x14ac:dyDescent="0.25">
      <c r="F473" s="8"/>
    </row>
    <row r="474" spans="6:6" ht="15.75" customHeight="1" x14ac:dyDescent="0.25">
      <c r="F474" s="8"/>
    </row>
    <row r="475" spans="6:6" ht="15.75" customHeight="1" x14ac:dyDescent="0.25">
      <c r="F475" s="8"/>
    </row>
    <row r="476" spans="6:6" ht="15.75" customHeight="1" x14ac:dyDescent="0.25">
      <c r="F476" s="8"/>
    </row>
    <row r="477" spans="6:6" ht="15.75" customHeight="1" x14ac:dyDescent="0.25">
      <c r="F477" s="8"/>
    </row>
    <row r="478" spans="6:6" ht="15.75" customHeight="1" x14ac:dyDescent="0.25">
      <c r="F478" s="8"/>
    </row>
    <row r="479" spans="6:6" ht="15.75" customHeight="1" x14ac:dyDescent="0.25">
      <c r="F479" s="8"/>
    </row>
    <row r="480" spans="6:6" ht="15.75" customHeight="1" x14ac:dyDescent="0.25">
      <c r="F480" s="8"/>
    </row>
    <row r="481" spans="6:6" ht="15.75" customHeight="1" x14ac:dyDescent="0.25">
      <c r="F481" s="8"/>
    </row>
    <row r="482" spans="6:6" ht="15.75" customHeight="1" x14ac:dyDescent="0.25">
      <c r="F482" s="8"/>
    </row>
    <row r="483" spans="6:6" ht="15.75" customHeight="1" x14ac:dyDescent="0.25">
      <c r="F483" s="8"/>
    </row>
    <row r="484" spans="6:6" ht="15.75" customHeight="1" x14ac:dyDescent="0.25">
      <c r="F484" s="8"/>
    </row>
    <row r="485" spans="6:6" ht="15.75" customHeight="1" x14ac:dyDescent="0.25">
      <c r="F485" s="8"/>
    </row>
    <row r="486" spans="6:6" ht="15.75" customHeight="1" x14ac:dyDescent="0.25">
      <c r="F486" s="8"/>
    </row>
    <row r="487" spans="6:6" ht="15.75" customHeight="1" x14ac:dyDescent="0.25">
      <c r="F487" s="8"/>
    </row>
    <row r="488" spans="6:6" ht="15.75" customHeight="1" x14ac:dyDescent="0.25">
      <c r="F488" s="8"/>
    </row>
    <row r="489" spans="6:6" ht="15.75" customHeight="1" x14ac:dyDescent="0.25">
      <c r="F489" s="8"/>
    </row>
    <row r="490" spans="6:6" ht="15.75" customHeight="1" x14ac:dyDescent="0.25">
      <c r="F490" s="8"/>
    </row>
    <row r="491" spans="6:6" ht="15.75" customHeight="1" x14ac:dyDescent="0.25">
      <c r="F491" s="8"/>
    </row>
    <row r="492" spans="6:6" ht="15.75" customHeight="1" x14ac:dyDescent="0.25">
      <c r="F492" s="8"/>
    </row>
    <row r="493" spans="6:6" ht="15.75" customHeight="1" x14ac:dyDescent="0.25">
      <c r="F493" s="8"/>
    </row>
    <row r="494" spans="6:6" ht="15.75" customHeight="1" x14ac:dyDescent="0.25">
      <c r="F494" s="8"/>
    </row>
    <row r="495" spans="6:6" ht="15.75" customHeight="1" x14ac:dyDescent="0.25">
      <c r="F495" s="8"/>
    </row>
    <row r="496" spans="6:6" ht="15.75" customHeight="1" x14ac:dyDescent="0.25">
      <c r="F496" s="8"/>
    </row>
    <row r="497" spans="6:6" ht="15.75" customHeight="1" x14ac:dyDescent="0.25">
      <c r="F497" s="8"/>
    </row>
    <row r="498" spans="6:6" ht="15.75" customHeight="1" x14ac:dyDescent="0.25">
      <c r="F498" s="8"/>
    </row>
    <row r="499" spans="6:6" ht="15.75" customHeight="1" x14ac:dyDescent="0.25">
      <c r="F499" s="8"/>
    </row>
    <row r="500" spans="6:6" ht="15.75" customHeight="1" x14ac:dyDescent="0.25">
      <c r="F500" s="8"/>
    </row>
    <row r="501" spans="6:6" ht="15.75" customHeight="1" x14ac:dyDescent="0.25">
      <c r="F501" s="8"/>
    </row>
    <row r="502" spans="6:6" ht="15.75" customHeight="1" x14ac:dyDescent="0.25">
      <c r="F502" s="8"/>
    </row>
    <row r="503" spans="6:6" ht="15.75" customHeight="1" x14ac:dyDescent="0.25">
      <c r="F503" s="8"/>
    </row>
    <row r="504" spans="6:6" ht="15.75" customHeight="1" x14ac:dyDescent="0.25">
      <c r="F504" s="8"/>
    </row>
    <row r="505" spans="6:6" ht="15.75" customHeight="1" x14ac:dyDescent="0.25">
      <c r="F505" s="8"/>
    </row>
    <row r="506" spans="6:6" ht="15.75" customHeight="1" x14ac:dyDescent="0.25">
      <c r="F506" s="8"/>
    </row>
    <row r="507" spans="6:6" ht="15.75" customHeight="1" x14ac:dyDescent="0.25">
      <c r="F507" s="8"/>
    </row>
    <row r="508" spans="6:6" ht="15.75" customHeight="1" x14ac:dyDescent="0.25">
      <c r="F508" s="8"/>
    </row>
    <row r="509" spans="6:6" ht="15.75" customHeight="1" x14ac:dyDescent="0.25">
      <c r="F509" s="8"/>
    </row>
    <row r="510" spans="6:6" ht="15.75" customHeight="1" x14ac:dyDescent="0.25">
      <c r="F510" s="8"/>
    </row>
    <row r="511" spans="6:6" ht="15.75" customHeight="1" x14ac:dyDescent="0.25">
      <c r="F511" s="8"/>
    </row>
    <row r="512" spans="6:6" ht="15.75" customHeight="1" x14ac:dyDescent="0.25">
      <c r="F512" s="8"/>
    </row>
    <row r="513" spans="6:6" ht="15.75" customHeight="1" x14ac:dyDescent="0.25">
      <c r="F513" s="8"/>
    </row>
    <row r="514" spans="6:6" ht="15.75" customHeight="1" x14ac:dyDescent="0.25">
      <c r="F514" s="8"/>
    </row>
    <row r="515" spans="6:6" ht="15.75" customHeight="1" x14ac:dyDescent="0.25">
      <c r="F515" s="8"/>
    </row>
    <row r="516" spans="6:6" ht="15.75" customHeight="1" x14ac:dyDescent="0.25">
      <c r="F516" s="8"/>
    </row>
    <row r="517" spans="6:6" ht="15.75" customHeight="1" x14ac:dyDescent="0.25">
      <c r="F517" s="8"/>
    </row>
    <row r="518" spans="6:6" ht="15.75" customHeight="1" x14ac:dyDescent="0.25">
      <c r="F518" s="8"/>
    </row>
    <row r="519" spans="6:6" ht="15.75" customHeight="1" x14ac:dyDescent="0.25">
      <c r="F519" s="8"/>
    </row>
    <row r="520" spans="6:6" ht="15.75" customHeight="1" x14ac:dyDescent="0.25">
      <c r="F520" s="8"/>
    </row>
    <row r="521" spans="6:6" ht="15.75" customHeight="1" x14ac:dyDescent="0.25">
      <c r="F521" s="8"/>
    </row>
    <row r="522" spans="6:6" ht="15.75" customHeight="1" x14ac:dyDescent="0.25">
      <c r="F522" s="8"/>
    </row>
    <row r="523" spans="6:6" ht="15.75" customHeight="1" x14ac:dyDescent="0.25">
      <c r="F523" s="8"/>
    </row>
    <row r="524" spans="6:6" ht="15.75" customHeight="1" x14ac:dyDescent="0.25">
      <c r="F524" s="8"/>
    </row>
    <row r="525" spans="6:6" ht="15.75" customHeight="1" x14ac:dyDescent="0.25">
      <c r="F525" s="8"/>
    </row>
    <row r="526" spans="6:6" ht="15.75" customHeight="1" x14ac:dyDescent="0.25">
      <c r="F526" s="8"/>
    </row>
    <row r="527" spans="6:6" ht="15.75" customHeight="1" x14ac:dyDescent="0.25">
      <c r="F527" s="8"/>
    </row>
    <row r="528" spans="6:6" ht="15.75" customHeight="1" x14ac:dyDescent="0.25">
      <c r="F528" s="8"/>
    </row>
    <row r="529" spans="6:6" ht="15.75" customHeight="1" x14ac:dyDescent="0.25">
      <c r="F529" s="8"/>
    </row>
    <row r="530" spans="6:6" ht="15.75" customHeight="1" x14ac:dyDescent="0.25">
      <c r="F530" s="8"/>
    </row>
    <row r="531" spans="6:6" ht="15.75" customHeight="1" x14ac:dyDescent="0.25">
      <c r="F531" s="8"/>
    </row>
    <row r="532" spans="6:6" ht="15.75" customHeight="1" x14ac:dyDescent="0.25">
      <c r="F532" s="8"/>
    </row>
    <row r="533" spans="6:6" ht="15.75" customHeight="1" x14ac:dyDescent="0.25">
      <c r="F533" s="8"/>
    </row>
    <row r="534" spans="6:6" ht="15.75" customHeight="1" x14ac:dyDescent="0.25">
      <c r="F534" s="8"/>
    </row>
    <row r="535" spans="6:6" ht="15.75" customHeight="1" x14ac:dyDescent="0.25">
      <c r="F535" s="8"/>
    </row>
    <row r="536" spans="6:6" ht="15.75" customHeight="1" x14ac:dyDescent="0.25">
      <c r="F536" s="8"/>
    </row>
    <row r="537" spans="6:6" ht="15.75" customHeight="1" x14ac:dyDescent="0.25">
      <c r="F537" s="8"/>
    </row>
    <row r="538" spans="6:6" ht="15.75" customHeight="1" x14ac:dyDescent="0.25">
      <c r="F538" s="8"/>
    </row>
    <row r="539" spans="6:6" ht="15.75" customHeight="1" x14ac:dyDescent="0.25">
      <c r="F539" s="8"/>
    </row>
    <row r="540" spans="6:6" ht="15.75" customHeight="1" x14ac:dyDescent="0.25">
      <c r="F540" s="8"/>
    </row>
    <row r="541" spans="6:6" ht="15.75" customHeight="1" x14ac:dyDescent="0.25">
      <c r="F541" s="8"/>
    </row>
    <row r="542" spans="6:6" ht="15.75" customHeight="1" x14ac:dyDescent="0.25">
      <c r="F542" s="8"/>
    </row>
    <row r="543" spans="6:6" ht="15.75" customHeight="1" x14ac:dyDescent="0.25">
      <c r="F543" s="8"/>
    </row>
    <row r="544" spans="6:6" ht="15.75" customHeight="1" x14ac:dyDescent="0.25">
      <c r="F544" s="8"/>
    </row>
    <row r="545" spans="6:6" ht="15.75" customHeight="1" x14ac:dyDescent="0.25">
      <c r="F545" s="8"/>
    </row>
    <row r="546" spans="6:6" ht="15.75" customHeight="1" x14ac:dyDescent="0.25">
      <c r="F546" s="8"/>
    </row>
    <row r="547" spans="6:6" ht="15.75" customHeight="1" x14ac:dyDescent="0.25">
      <c r="F547" s="8"/>
    </row>
    <row r="548" spans="6:6" ht="15.75" customHeight="1" x14ac:dyDescent="0.25">
      <c r="F548" s="8"/>
    </row>
    <row r="549" spans="6:6" ht="15.75" customHeight="1" x14ac:dyDescent="0.25">
      <c r="F549" s="8"/>
    </row>
    <row r="550" spans="6:6" ht="15.75" customHeight="1" x14ac:dyDescent="0.25">
      <c r="F550" s="8"/>
    </row>
    <row r="551" spans="6:6" ht="15.75" customHeight="1" x14ac:dyDescent="0.25">
      <c r="F551" s="8"/>
    </row>
    <row r="552" spans="6:6" ht="15.75" customHeight="1" x14ac:dyDescent="0.25">
      <c r="F552" s="8"/>
    </row>
    <row r="553" spans="6:6" ht="15.75" customHeight="1" x14ac:dyDescent="0.25">
      <c r="F553" s="8"/>
    </row>
    <row r="554" spans="6:6" ht="15.75" customHeight="1" x14ac:dyDescent="0.25">
      <c r="F554" s="8"/>
    </row>
    <row r="555" spans="6:6" ht="15.75" customHeight="1" x14ac:dyDescent="0.25">
      <c r="F555" s="8"/>
    </row>
    <row r="556" spans="6:6" ht="15.75" customHeight="1" x14ac:dyDescent="0.25">
      <c r="F556" s="8"/>
    </row>
    <row r="557" spans="6:6" ht="15.75" customHeight="1" x14ac:dyDescent="0.25">
      <c r="F557" s="8"/>
    </row>
    <row r="558" spans="6:6" ht="15.75" customHeight="1" x14ac:dyDescent="0.25">
      <c r="F558" s="8"/>
    </row>
    <row r="559" spans="6:6" ht="15.75" customHeight="1" x14ac:dyDescent="0.25">
      <c r="F559" s="8"/>
    </row>
    <row r="560" spans="6:6" ht="15.75" customHeight="1" x14ac:dyDescent="0.25">
      <c r="F560" s="8"/>
    </row>
    <row r="561" spans="6:6" ht="15.75" customHeight="1" x14ac:dyDescent="0.25">
      <c r="F561" s="8"/>
    </row>
    <row r="562" spans="6:6" ht="15.75" customHeight="1" x14ac:dyDescent="0.25">
      <c r="F562" s="8"/>
    </row>
    <row r="563" spans="6:6" ht="15.75" customHeight="1" x14ac:dyDescent="0.25">
      <c r="F563" s="8"/>
    </row>
    <row r="564" spans="6:6" ht="15.75" customHeight="1" x14ac:dyDescent="0.25">
      <c r="F564" s="8"/>
    </row>
    <row r="565" spans="6:6" ht="15.75" customHeight="1" x14ac:dyDescent="0.25">
      <c r="F565" s="8"/>
    </row>
    <row r="566" spans="6:6" ht="15.75" customHeight="1" x14ac:dyDescent="0.25">
      <c r="F566" s="8"/>
    </row>
    <row r="567" spans="6:6" ht="15.75" customHeight="1" x14ac:dyDescent="0.25">
      <c r="F567" s="8"/>
    </row>
    <row r="568" spans="6:6" ht="15.75" customHeight="1" x14ac:dyDescent="0.25">
      <c r="F568" s="8"/>
    </row>
    <row r="569" spans="6:6" ht="15.75" customHeight="1" x14ac:dyDescent="0.25">
      <c r="F569" s="8"/>
    </row>
    <row r="570" spans="6:6" ht="15.75" customHeight="1" x14ac:dyDescent="0.25">
      <c r="F570" s="8"/>
    </row>
    <row r="571" spans="6:6" ht="15.75" customHeight="1" x14ac:dyDescent="0.25">
      <c r="F571" s="8"/>
    </row>
    <row r="572" spans="6:6" ht="15.75" customHeight="1" x14ac:dyDescent="0.25">
      <c r="F572" s="8"/>
    </row>
    <row r="573" spans="6:6" ht="15.75" customHeight="1" x14ac:dyDescent="0.25">
      <c r="F573" s="8"/>
    </row>
    <row r="574" spans="6:6" ht="15.75" customHeight="1" x14ac:dyDescent="0.25">
      <c r="F574" s="8"/>
    </row>
    <row r="575" spans="6:6" ht="15.75" customHeight="1" x14ac:dyDescent="0.25">
      <c r="F575" s="8"/>
    </row>
    <row r="576" spans="6:6" ht="15.75" customHeight="1" x14ac:dyDescent="0.25">
      <c r="F576" s="8"/>
    </row>
    <row r="577" spans="6:6" ht="15.75" customHeight="1" x14ac:dyDescent="0.25">
      <c r="F577" s="8"/>
    </row>
    <row r="578" spans="6:6" ht="15.75" customHeight="1" x14ac:dyDescent="0.25">
      <c r="F578" s="8"/>
    </row>
    <row r="579" spans="6:6" ht="15.75" customHeight="1" x14ac:dyDescent="0.25">
      <c r="F579" s="8"/>
    </row>
    <row r="580" spans="6:6" ht="15.75" customHeight="1" x14ac:dyDescent="0.25">
      <c r="F580" s="8"/>
    </row>
    <row r="581" spans="6:6" ht="15.75" customHeight="1" x14ac:dyDescent="0.25">
      <c r="F581" s="8"/>
    </row>
    <row r="582" spans="6:6" ht="15.75" customHeight="1" x14ac:dyDescent="0.25">
      <c r="F582" s="8"/>
    </row>
    <row r="583" spans="6:6" ht="15.75" customHeight="1" x14ac:dyDescent="0.25">
      <c r="F583" s="8"/>
    </row>
    <row r="584" spans="6:6" ht="15.75" customHeight="1" x14ac:dyDescent="0.25">
      <c r="F584" s="8"/>
    </row>
    <row r="585" spans="6:6" ht="15.75" customHeight="1" x14ac:dyDescent="0.25">
      <c r="F585" s="8"/>
    </row>
    <row r="586" spans="6:6" ht="15.75" customHeight="1" x14ac:dyDescent="0.25">
      <c r="F586" s="8"/>
    </row>
    <row r="587" spans="6:6" ht="15.75" customHeight="1" x14ac:dyDescent="0.25">
      <c r="F587" s="8"/>
    </row>
    <row r="588" spans="6:6" ht="15.75" customHeight="1" x14ac:dyDescent="0.25">
      <c r="F588" s="8"/>
    </row>
    <row r="589" spans="6:6" ht="15.75" customHeight="1" x14ac:dyDescent="0.25">
      <c r="F589" s="8"/>
    </row>
    <row r="590" spans="6:6" ht="15.75" customHeight="1" x14ac:dyDescent="0.25">
      <c r="F590" s="8"/>
    </row>
    <row r="591" spans="6:6" ht="15.75" customHeight="1" x14ac:dyDescent="0.25">
      <c r="F591" s="8"/>
    </row>
    <row r="592" spans="6:6" ht="15.75" customHeight="1" x14ac:dyDescent="0.25">
      <c r="F592" s="8"/>
    </row>
    <row r="593" spans="6:6" ht="15.75" customHeight="1" x14ac:dyDescent="0.25">
      <c r="F593" s="8"/>
    </row>
    <row r="594" spans="6:6" ht="15.75" customHeight="1" x14ac:dyDescent="0.25">
      <c r="F594" s="8"/>
    </row>
    <row r="595" spans="6:6" ht="15.75" customHeight="1" x14ac:dyDescent="0.25">
      <c r="F595" s="8"/>
    </row>
    <row r="596" spans="6:6" ht="15.75" customHeight="1" x14ac:dyDescent="0.25">
      <c r="F596" s="8"/>
    </row>
    <row r="597" spans="6:6" ht="15.75" customHeight="1" x14ac:dyDescent="0.25">
      <c r="F597" s="8"/>
    </row>
    <row r="598" spans="6:6" ht="15.75" customHeight="1" x14ac:dyDescent="0.25">
      <c r="F598" s="8"/>
    </row>
    <row r="599" spans="6:6" ht="15.75" customHeight="1" x14ac:dyDescent="0.25">
      <c r="F599" s="8"/>
    </row>
    <row r="600" spans="6:6" ht="15.75" customHeight="1" x14ac:dyDescent="0.25">
      <c r="F600" s="8"/>
    </row>
    <row r="601" spans="6:6" ht="15.75" customHeight="1" x14ac:dyDescent="0.25">
      <c r="F601" s="8"/>
    </row>
    <row r="602" spans="6:6" ht="15.75" customHeight="1" x14ac:dyDescent="0.25">
      <c r="F602" s="8"/>
    </row>
    <row r="603" spans="6:6" ht="15.75" customHeight="1" x14ac:dyDescent="0.25">
      <c r="F603" s="8"/>
    </row>
    <row r="604" spans="6:6" ht="15.75" customHeight="1" x14ac:dyDescent="0.25">
      <c r="F604" s="8"/>
    </row>
    <row r="605" spans="6:6" ht="15.75" customHeight="1" x14ac:dyDescent="0.25">
      <c r="F605" s="8"/>
    </row>
    <row r="606" spans="6:6" ht="15.75" customHeight="1" x14ac:dyDescent="0.25">
      <c r="F606" s="8"/>
    </row>
    <row r="607" spans="6:6" ht="15.75" customHeight="1" x14ac:dyDescent="0.25">
      <c r="F607" s="8"/>
    </row>
    <row r="608" spans="6:6" ht="15.75" customHeight="1" x14ac:dyDescent="0.25">
      <c r="F608" s="8"/>
    </row>
    <row r="609" spans="6:6" ht="15.75" customHeight="1" x14ac:dyDescent="0.25">
      <c r="F609" s="8"/>
    </row>
    <row r="610" spans="6:6" ht="15.75" customHeight="1" x14ac:dyDescent="0.25">
      <c r="F610" s="8"/>
    </row>
    <row r="611" spans="6:6" ht="15.75" customHeight="1" x14ac:dyDescent="0.25">
      <c r="F611" s="8"/>
    </row>
    <row r="612" spans="6:6" ht="15.75" customHeight="1" x14ac:dyDescent="0.25">
      <c r="F612" s="8"/>
    </row>
    <row r="613" spans="6:6" ht="15.75" customHeight="1" x14ac:dyDescent="0.25">
      <c r="F613" s="8"/>
    </row>
    <row r="614" spans="6:6" ht="15.75" customHeight="1" x14ac:dyDescent="0.25">
      <c r="F614" s="8"/>
    </row>
    <row r="615" spans="6:6" ht="15.75" customHeight="1" x14ac:dyDescent="0.25">
      <c r="F615" s="8"/>
    </row>
    <row r="616" spans="6:6" ht="15.75" customHeight="1" x14ac:dyDescent="0.25">
      <c r="F616" s="8"/>
    </row>
    <row r="617" spans="6:6" ht="15.75" customHeight="1" x14ac:dyDescent="0.25">
      <c r="F617" s="8"/>
    </row>
    <row r="618" spans="6:6" ht="15.75" customHeight="1" x14ac:dyDescent="0.25">
      <c r="F618" s="8"/>
    </row>
    <row r="619" spans="6:6" ht="15.75" customHeight="1" x14ac:dyDescent="0.25">
      <c r="F619" s="8"/>
    </row>
    <row r="620" spans="6:6" ht="15.75" customHeight="1" x14ac:dyDescent="0.25">
      <c r="F620" s="8"/>
    </row>
    <row r="621" spans="6:6" ht="15.75" customHeight="1" x14ac:dyDescent="0.25">
      <c r="F621" s="8"/>
    </row>
    <row r="622" spans="6:6" ht="15.75" customHeight="1" x14ac:dyDescent="0.25">
      <c r="F622" s="8"/>
    </row>
    <row r="623" spans="6:6" ht="15.75" customHeight="1" x14ac:dyDescent="0.25">
      <c r="F623" s="8"/>
    </row>
    <row r="624" spans="6:6" ht="15.75" customHeight="1" x14ac:dyDescent="0.25">
      <c r="F624" s="8"/>
    </row>
    <row r="625" spans="6:6" ht="15.75" customHeight="1" x14ac:dyDescent="0.25">
      <c r="F625" s="8"/>
    </row>
    <row r="626" spans="6:6" ht="15.75" customHeight="1" x14ac:dyDescent="0.25">
      <c r="F626" s="8"/>
    </row>
    <row r="627" spans="6:6" ht="15.75" customHeight="1" x14ac:dyDescent="0.25">
      <c r="F627" s="8"/>
    </row>
    <row r="628" spans="6:6" ht="15.75" customHeight="1" x14ac:dyDescent="0.25">
      <c r="F628" s="8"/>
    </row>
    <row r="629" spans="6:6" ht="15.75" customHeight="1" x14ac:dyDescent="0.25">
      <c r="F629" s="8"/>
    </row>
    <row r="630" spans="6:6" ht="15.75" customHeight="1" x14ac:dyDescent="0.25">
      <c r="F630" s="8"/>
    </row>
    <row r="631" spans="6:6" ht="15.75" customHeight="1" x14ac:dyDescent="0.25">
      <c r="F631" s="8"/>
    </row>
    <row r="632" spans="6:6" ht="15.75" customHeight="1" x14ac:dyDescent="0.25">
      <c r="F632" s="8"/>
    </row>
    <row r="633" spans="6:6" ht="15.75" customHeight="1" x14ac:dyDescent="0.25">
      <c r="F633" s="8"/>
    </row>
    <row r="634" spans="6:6" ht="15.75" customHeight="1" x14ac:dyDescent="0.25">
      <c r="F634" s="8"/>
    </row>
    <row r="635" spans="6:6" ht="15.75" customHeight="1" x14ac:dyDescent="0.25">
      <c r="F635" s="8"/>
    </row>
    <row r="636" spans="6:6" ht="15.75" customHeight="1" x14ac:dyDescent="0.25">
      <c r="F636" s="8"/>
    </row>
    <row r="637" spans="6:6" ht="15.75" customHeight="1" x14ac:dyDescent="0.25">
      <c r="F637" s="8"/>
    </row>
    <row r="638" spans="6:6" ht="15.75" customHeight="1" x14ac:dyDescent="0.25">
      <c r="F638" s="8"/>
    </row>
    <row r="639" spans="6:6" ht="15.75" customHeight="1" x14ac:dyDescent="0.25">
      <c r="F639" s="8"/>
    </row>
    <row r="640" spans="6:6" ht="15.75" customHeight="1" x14ac:dyDescent="0.25">
      <c r="F640" s="8"/>
    </row>
    <row r="641" spans="6:6" ht="15.75" customHeight="1" x14ac:dyDescent="0.25">
      <c r="F641" s="8"/>
    </row>
    <row r="642" spans="6:6" ht="15.75" customHeight="1" x14ac:dyDescent="0.25">
      <c r="F642" s="8"/>
    </row>
    <row r="643" spans="6:6" ht="15.75" customHeight="1" x14ac:dyDescent="0.25">
      <c r="F643" s="8"/>
    </row>
    <row r="644" spans="6:6" ht="15.75" customHeight="1" x14ac:dyDescent="0.25">
      <c r="F644" s="8"/>
    </row>
    <row r="645" spans="6:6" ht="15.75" customHeight="1" x14ac:dyDescent="0.25">
      <c r="F645" s="8"/>
    </row>
    <row r="646" spans="6:6" ht="15.75" customHeight="1" x14ac:dyDescent="0.25">
      <c r="F646" s="8"/>
    </row>
    <row r="647" spans="6:6" ht="15.75" customHeight="1" x14ac:dyDescent="0.25">
      <c r="F647" s="8"/>
    </row>
    <row r="648" spans="6:6" ht="15.75" customHeight="1" x14ac:dyDescent="0.25">
      <c r="F648" s="8"/>
    </row>
    <row r="649" spans="6:6" ht="15.75" customHeight="1" x14ac:dyDescent="0.25">
      <c r="F649" s="8"/>
    </row>
    <row r="650" spans="6:6" ht="15.75" customHeight="1" x14ac:dyDescent="0.25">
      <c r="F650" s="8"/>
    </row>
    <row r="651" spans="6:6" ht="15.75" customHeight="1" x14ac:dyDescent="0.25">
      <c r="F651" s="8"/>
    </row>
    <row r="652" spans="6:6" ht="15.75" customHeight="1" x14ac:dyDescent="0.25">
      <c r="F652" s="8"/>
    </row>
    <row r="653" spans="6:6" ht="15.75" customHeight="1" x14ac:dyDescent="0.25">
      <c r="F653" s="8"/>
    </row>
    <row r="654" spans="6:6" ht="15.75" customHeight="1" x14ac:dyDescent="0.25">
      <c r="F654" s="8"/>
    </row>
    <row r="655" spans="6:6" ht="15.75" customHeight="1" x14ac:dyDescent="0.25">
      <c r="F655" s="8"/>
    </row>
    <row r="656" spans="6:6" ht="15.75" customHeight="1" x14ac:dyDescent="0.25">
      <c r="F656" s="8"/>
    </row>
    <row r="657" spans="6:6" ht="15.75" customHeight="1" x14ac:dyDescent="0.25">
      <c r="F657" s="8"/>
    </row>
    <row r="658" spans="6:6" ht="15.75" customHeight="1" x14ac:dyDescent="0.25">
      <c r="F658" s="8"/>
    </row>
    <row r="659" spans="6:6" ht="15.75" customHeight="1" x14ac:dyDescent="0.25">
      <c r="F659" s="8"/>
    </row>
    <row r="660" spans="6:6" ht="15.75" customHeight="1" x14ac:dyDescent="0.25">
      <c r="F660" s="8"/>
    </row>
    <row r="661" spans="6:6" ht="15.75" customHeight="1" x14ac:dyDescent="0.25">
      <c r="F661" s="8"/>
    </row>
    <row r="662" spans="6:6" ht="15.75" customHeight="1" x14ac:dyDescent="0.25">
      <c r="F662" s="8"/>
    </row>
    <row r="663" spans="6:6" ht="15.75" customHeight="1" x14ac:dyDescent="0.25">
      <c r="F663" s="8"/>
    </row>
    <row r="664" spans="6:6" ht="15.75" customHeight="1" x14ac:dyDescent="0.25">
      <c r="F664" s="8"/>
    </row>
    <row r="665" spans="6:6" ht="15.75" customHeight="1" x14ac:dyDescent="0.25">
      <c r="F665" s="8"/>
    </row>
    <row r="666" spans="6:6" ht="15.75" customHeight="1" x14ac:dyDescent="0.25">
      <c r="F666" s="8"/>
    </row>
    <row r="667" spans="6:6" ht="15.75" customHeight="1" x14ac:dyDescent="0.25">
      <c r="F667" s="8"/>
    </row>
    <row r="668" spans="6:6" ht="15.75" customHeight="1" x14ac:dyDescent="0.25">
      <c r="F668" s="8"/>
    </row>
    <row r="669" spans="6:6" ht="15.75" customHeight="1" x14ac:dyDescent="0.25">
      <c r="F669" s="8"/>
    </row>
    <row r="670" spans="6:6" ht="15.75" customHeight="1" x14ac:dyDescent="0.25">
      <c r="F670" s="8"/>
    </row>
    <row r="671" spans="6:6" ht="15.75" customHeight="1" x14ac:dyDescent="0.25">
      <c r="F671" s="8"/>
    </row>
    <row r="672" spans="6:6" ht="15.75" customHeight="1" x14ac:dyDescent="0.25">
      <c r="F672" s="8"/>
    </row>
    <row r="673" spans="6:6" ht="15.75" customHeight="1" x14ac:dyDescent="0.25">
      <c r="F673" s="8"/>
    </row>
    <row r="674" spans="6:6" ht="15.75" customHeight="1" x14ac:dyDescent="0.25">
      <c r="F674" s="8"/>
    </row>
    <row r="675" spans="6:6" ht="15.75" customHeight="1" x14ac:dyDescent="0.25">
      <c r="F675" s="8"/>
    </row>
    <row r="676" spans="6:6" ht="15.75" customHeight="1" x14ac:dyDescent="0.25">
      <c r="F676" s="8"/>
    </row>
    <row r="677" spans="6:6" ht="15.75" customHeight="1" x14ac:dyDescent="0.25">
      <c r="F677" s="8"/>
    </row>
    <row r="678" spans="6:6" ht="15.75" customHeight="1" x14ac:dyDescent="0.25">
      <c r="F678" s="8"/>
    </row>
    <row r="679" spans="6:6" ht="15.75" customHeight="1" x14ac:dyDescent="0.25">
      <c r="F679" s="8"/>
    </row>
    <row r="680" spans="6:6" ht="15.75" customHeight="1" x14ac:dyDescent="0.25">
      <c r="F680" s="8"/>
    </row>
    <row r="681" spans="6:6" ht="15.75" customHeight="1" x14ac:dyDescent="0.25">
      <c r="F681" s="8"/>
    </row>
    <row r="682" spans="6:6" ht="15.75" customHeight="1" x14ac:dyDescent="0.25">
      <c r="F682" s="8"/>
    </row>
    <row r="683" spans="6:6" ht="15.75" customHeight="1" x14ac:dyDescent="0.25">
      <c r="F683" s="8"/>
    </row>
    <row r="684" spans="6:6" ht="15.75" customHeight="1" x14ac:dyDescent="0.25">
      <c r="F684" s="8"/>
    </row>
    <row r="685" spans="6:6" ht="15.75" customHeight="1" x14ac:dyDescent="0.25">
      <c r="F685" s="8"/>
    </row>
    <row r="686" spans="6:6" ht="15.75" customHeight="1" x14ac:dyDescent="0.25">
      <c r="F686" s="8"/>
    </row>
    <row r="687" spans="6:6" ht="15.75" customHeight="1" x14ac:dyDescent="0.25">
      <c r="F687" s="8"/>
    </row>
    <row r="688" spans="6:6" ht="15.75" customHeight="1" x14ac:dyDescent="0.25">
      <c r="F688" s="8"/>
    </row>
    <row r="689" spans="6:6" ht="15.75" customHeight="1" x14ac:dyDescent="0.25">
      <c r="F689" s="8"/>
    </row>
    <row r="690" spans="6:6" ht="15.75" customHeight="1" x14ac:dyDescent="0.25">
      <c r="F690" s="8"/>
    </row>
    <row r="691" spans="6:6" ht="15.75" customHeight="1" x14ac:dyDescent="0.25">
      <c r="F691" s="8"/>
    </row>
    <row r="692" spans="6:6" ht="15.75" customHeight="1" x14ac:dyDescent="0.25">
      <c r="F692" s="8"/>
    </row>
    <row r="693" spans="6:6" ht="15.75" customHeight="1" x14ac:dyDescent="0.25">
      <c r="F693" s="8"/>
    </row>
    <row r="694" spans="6:6" ht="15.75" customHeight="1" x14ac:dyDescent="0.25">
      <c r="F694" s="8"/>
    </row>
    <row r="695" spans="6:6" ht="15.75" customHeight="1" x14ac:dyDescent="0.25">
      <c r="F695" s="8"/>
    </row>
    <row r="696" spans="6:6" ht="15.75" customHeight="1" x14ac:dyDescent="0.25">
      <c r="F696" s="8"/>
    </row>
    <row r="697" spans="6:6" ht="15.75" customHeight="1" x14ac:dyDescent="0.25">
      <c r="F697" s="8"/>
    </row>
    <row r="698" spans="6:6" ht="15.75" customHeight="1" x14ac:dyDescent="0.25">
      <c r="F698" s="8"/>
    </row>
    <row r="699" spans="6:6" ht="15.75" customHeight="1" x14ac:dyDescent="0.25">
      <c r="F699" s="8"/>
    </row>
    <row r="700" spans="6:6" ht="15.75" customHeight="1" x14ac:dyDescent="0.25">
      <c r="F700" s="8"/>
    </row>
    <row r="701" spans="6:6" ht="15.75" customHeight="1" x14ac:dyDescent="0.25">
      <c r="F701" s="8"/>
    </row>
    <row r="702" spans="6:6" ht="15.75" customHeight="1" x14ac:dyDescent="0.25">
      <c r="F702" s="8"/>
    </row>
    <row r="703" spans="6:6" ht="15.75" customHeight="1" x14ac:dyDescent="0.25">
      <c r="F703" s="8"/>
    </row>
    <row r="704" spans="6:6" ht="15.75" customHeight="1" x14ac:dyDescent="0.25">
      <c r="F704" s="8"/>
    </row>
    <row r="705" spans="6:6" ht="15.75" customHeight="1" x14ac:dyDescent="0.25">
      <c r="F705" s="8"/>
    </row>
    <row r="706" spans="6:6" ht="15.75" customHeight="1" x14ac:dyDescent="0.25">
      <c r="F706" s="8"/>
    </row>
    <row r="707" spans="6:6" ht="15.75" customHeight="1" x14ac:dyDescent="0.25">
      <c r="F707" s="8"/>
    </row>
    <row r="708" spans="6:6" ht="15.75" customHeight="1" x14ac:dyDescent="0.25">
      <c r="F708" s="8"/>
    </row>
    <row r="709" spans="6:6" ht="15.75" customHeight="1" x14ac:dyDescent="0.25">
      <c r="F709" s="8"/>
    </row>
    <row r="710" spans="6:6" ht="15.75" customHeight="1" x14ac:dyDescent="0.25">
      <c r="F710" s="8"/>
    </row>
    <row r="711" spans="6:6" ht="15.75" customHeight="1" x14ac:dyDescent="0.25">
      <c r="F711" s="8"/>
    </row>
    <row r="712" spans="6:6" ht="15.75" customHeight="1" x14ac:dyDescent="0.25">
      <c r="F712" s="8"/>
    </row>
    <row r="713" spans="6:6" ht="15.75" customHeight="1" x14ac:dyDescent="0.25">
      <c r="F713" s="8"/>
    </row>
    <row r="714" spans="6:6" ht="15.75" customHeight="1" x14ac:dyDescent="0.25">
      <c r="F714" s="8"/>
    </row>
    <row r="715" spans="6:6" ht="15.75" customHeight="1" x14ac:dyDescent="0.25">
      <c r="F715" s="8"/>
    </row>
    <row r="716" spans="6:6" ht="15.75" customHeight="1" x14ac:dyDescent="0.25">
      <c r="F716" s="8"/>
    </row>
    <row r="717" spans="6:6" ht="15.75" customHeight="1" x14ac:dyDescent="0.25">
      <c r="F717" s="8"/>
    </row>
    <row r="718" spans="6:6" ht="15.75" customHeight="1" x14ac:dyDescent="0.25">
      <c r="F718" s="8"/>
    </row>
    <row r="719" spans="6:6" ht="15.75" customHeight="1" x14ac:dyDescent="0.25">
      <c r="F719" s="8"/>
    </row>
    <row r="720" spans="6:6" ht="15.75" customHeight="1" x14ac:dyDescent="0.25">
      <c r="F720" s="8"/>
    </row>
    <row r="721" spans="6:6" ht="15.75" customHeight="1" x14ac:dyDescent="0.25">
      <c r="F721" s="8"/>
    </row>
    <row r="722" spans="6:6" ht="15.75" customHeight="1" x14ac:dyDescent="0.25">
      <c r="F722" s="8"/>
    </row>
    <row r="723" spans="6:6" ht="15.75" customHeight="1" x14ac:dyDescent="0.25">
      <c r="F723" s="8"/>
    </row>
    <row r="724" spans="6:6" ht="15.75" customHeight="1" x14ac:dyDescent="0.25">
      <c r="F724" s="8"/>
    </row>
    <row r="725" spans="6:6" ht="15.75" customHeight="1" x14ac:dyDescent="0.25">
      <c r="F725" s="8"/>
    </row>
    <row r="726" spans="6:6" ht="15.75" customHeight="1" x14ac:dyDescent="0.25">
      <c r="F726" s="8"/>
    </row>
    <row r="727" spans="6:6" ht="15.75" customHeight="1" x14ac:dyDescent="0.25">
      <c r="F727" s="8"/>
    </row>
    <row r="728" spans="6:6" ht="15.75" customHeight="1" x14ac:dyDescent="0.25">
      <c r="F728" s="8"/>
    </row>
    <row r="729" spans="6:6" ht="15.75" customHeight="1" x14ac:dyDescent="0.25">
      <c r="F729" s="8"/>
    </row>
    <row r="730" spans="6:6" ht="15.75" customHeight="1" x14ac:dyDescent="0.25">
      <c r="F730" s="8"/>
    </row>
    <row r="731" spans="6:6" ht="15.75" customHeight="1" x14ac:dyDescent="0.25">
      <c r="F731" s="8"/>
    </row>
    <row r="732" spans="6:6" ht="15.75" customHeight="1" x14ac:dyDescent="0.25">
      <c r="F732" s="8"/>
    </row>
    <row r="733" spans="6:6" ht="15.75" customHeight="1" x14ac:dyDescent="0.25">
      <c r="F733" s="8"/>
    </row>
    <row r="734" spans="6:6" ht="15.75" customHeight="1" x14ac:dyDescent="0.25">
      <c r="F734" s="8"/>
    </row>
    <row r="735" spans="6:6" ht="15.75" customHeight="1" x14ac:dyDescent="0.25">
      <c r="F735" s="8"/>
    </row>
    <row r="736" spans="6:6" ht="15.75" customHeight="1" x14ac:dyDescent="0.25">
      <c r="F736" s="8"/>
    </row>
    <row r="737" spans="6:6" ht="15.75" customHeight="1" x14ac:dyDescent="0.25">
      <c r="F737" s="8"/>
    </row>
    <row r="738" spans="6:6" ht="15.75" customHeight="1" x14ac:dyDescent="0.25">
      <c r="F738" s="8"/>
    </row>
    <row r="739" spans="6:6" ht="15.75" customHeight="1" x14ac:dyDescent="0.25">
      <c r="F739" s="8"/>
    </row>
    <row r="740" spans="6:6" ht="15.75" customHeight="1" x14ac:dyDescent="0.25">
      <c r="F740" s="8"/>
    </row>
    <row r="741" spans="6:6" ht="15.75" customHeight="1" x14ac:dyDescent="0.25">
      <c r="F741" s="8"/>
    </row>
    <row r="742" spans="6:6" ht="15.75" customHeight="1" x14ac:dyDescent="0.25">
      <c r="F742" s="8"/>
    </row>
    <row r="743" spans="6:6" ht="15.75" customHeight="1" x14ac:dyDescent="0.25">
      <c r="F743" s="8"/>
    </row>
    <row r="744" spans="6:6" ht="15.75" customHeight="1" x14ac:dyDescent="0.25">
      <c r="F744" s="8"/>
    </row>
    <row r="745" spans="6:6" ht="15.75" customHeight="1" x14ac:dyDescent="0.25">
      <c r="F745" s="8"/>
    </row>
    <row r="746" spans="6:6" ht="15.75" customHeight="1" x14ac:dyDescent="0.25">
      <c r="F746" s="8"/>
    </row>
    <row r="747" spans="6:6" ht="15.75" customHeight="1" x14ac:dyDescent="0.25">
      <c r="F747" s="8"/>
    </row>
    <row r="748" spans="6:6" ht="15.75" customHeight="1" x14ac:dyDescent="0.25">
      <c r="F748" s="8"/>
    </row>
    <row r="749" spans="6:6" ht="15.75" customHeight="1" x14ac:dyDescent="0.25">
      <c r="F749" s="8"/>
    </row>
    <row r="750" spans="6:6" ht="15.75" customHeight="1" x14ac:dyDescent="0.25">
      <c r="F750" s="8"/>
    </row>
    <row r="751" spans="6:6" ht="15.75" customHeight="1" x14ac:dyDescent="0.25">
      <c r="F751" s="8"/>
    </row>
    <row r="752" spans="6:6" ht="15.75" customHeight="1" x14ac:dyDescent="0.25">
      <c r="F752" s="8"/>
    </row>
    <row r="753" spans="6:6" ht="15.75" customHeight="1" x14ac:dyDescent="0.25">
      <c r="F753" s="8"/>
    </row>
    <row r="754" spans="6:6" ht="15.75" customHeight="1" x14ac:dyDescent="0.25">
      <c r="F754" s="8"/>
    </row>
    <row r="755" spans="6:6" ht="15.75" customHeight="1" x14ac:dyDescent="0.25">
      <c r="F755" s="8"/>
    </row>
    <row r="756" spans="6:6" ht="15.75" customHeight="1" x14ac:dyDescent="0.25">
      <c r="F756" s="8"/>
    </row>
    <row r="757" spans="6:6" ht="15.75" customHeight="1" x14ac:dyDescent="0.25">
      <c r="F757" s="8"/>
    </row>
    <row r="758" spans="6:6" ht="15.75" customHeight="1" x14ac:dyDescent="0.25">
      <c r="F758" s="8"/>
    </row>
    <row r="759" spans="6:6" ht="15.75" customHeight="1" x14ac:dyDescent="0.25">
      <c r="F759" s="8"/>
    </row>
    <row r="760" spans="6:6" ht="15.75" customHeight="1" x14ac:dyDescent="0.25">
      <c r="F760" s="8"/>
    </row>
    <row r="761" spans="6:6" ht="15.75" customHeight="1" x14ac:dyDescent="0.25">
      <c r="F761" s="8"/>
    </row>
    <row r="762" spans="6:6" ht="15.75" customHeight="1" x14ac:dyDescent="0.25">
      <c r="F762" s="8"/>
    </row>
    <row r="763" spans="6:6" ht="15.75" customHeight="1" x14ac:dyDescent="0.25">
      <c r="F763" s="8"/>
    </row>
    <row r="764" spans="6:6" ht="15.75" customHeight="1" x14ac:dyDescent="0.25">
      <c r="F764" s="8"/>
    </row>
    <row r="765" spans="6:6" ht="15.75" customHeight="1" x14ac:dyDescent="0.25">
      <c r="F765" s="8"/>
    </row>
    <row r="766" spans="6:6" ht="15.75" customHeight="1" x14ac:dyDescent="0.25">
      <c r="F766" s="8"/>
    </row>
    <row r="767" spans="6:6" ht="15.75" customHeight="1" x14ac:dyDescent="0.25">
      <c r="F767" s="8"/>
    </row>
    <row r="768" spans="6:6" ht="15.75" customHeight="1" x14ac:dyDescent="0.25">
      <c r="F768" s="8"/>
    </row>
    <row r="769" spans="6:6" ht="15.75" customHeight="1" x14ac:dyDescent="0.25">
      <c r="F769" s="8"/>
    </row>
    <row r="770" spans="6:6" ht="15.75" customHeight="1" x14ac:dyDescent="0.25">
      <c r="F770" s="8"/>
    </row>
    <row r="771" spans="6:6" ht="15.75" customHeight="1" x14ac:dyDescent="0.25">
      <c r="F771" s="8"/>
    </row>
    <row r="772" spans="6:6" ht="15.75" customHeight="1" x14ac:dyDescent="0.25">
      <c r="F772" s="8"/>
    </row>
    <row r="773" spans="6:6" ht="15.75" customHeight="1" x14ac:dyDescent="0.25">
      <c r="F773" s="8"/>
    </row>
    <row r="774" spans="6:6" ht="15.75" customHeight="1" x14ac:dyDescent="0.25">
      <c r="F774" s="8"/>
    </row>
    <row r="775" spans="6:6" ht="15.75" customHeight="1" x14ac:dyDescent="0.25">
      <c r="F775" s="8"/>
    </row>
    <row r="776" spans="6:6" ht="15.75" customHeight="1" x14ac:dyDescent="0.25">
      <c r="F776" s="8"/>
    </row>
    <row r="777" spans="6:6" ht="15.75" customHeight="1" x14ac:dyDescent="0.25">
      <c r="F777" s="8"/>
    </row>
    <row r="778" spans="6:6" ht="15.75" customHeight="1" x14ac:dyDescent="0.25">
      <c r="F778" s="8"/>
    </row>
    <row r="779" spans="6:6" ht="15.75" customHeight="1" x14ac:dyDescent="0.25">
      <c r="F779" s="8"/>
    </row>
    <row r="780" spans="6:6" ht="15.75" customHeight="1" x14ac:dyDescent="0.25">
      <c r="F780" s="8"/>
    </row>
    <row r="781" spans="6:6" ht="15.75" customHeight="1" x14ac:dyDescent="0.25">
      <c r="F781" s="8"/>
    </row>
    <row r="782" spans="6:6" ht="15.75" customHeight="1" x14ac:dyDescent="0.25">
      <c r="F782" s="8"/>
    </row>
    <row r="783" spans="6:6" ht="15.75" customHeight="1" x14ac:dyDescent="0.25">
      <c r="F783" s="8"/>
    </row>
    <row r="784" spans="6:6" ht="15.75" customHeight="1" x14ac:dyDescent="0.25">
      <c r="F784" s="8"/>
    </row>
    <row r="785" spans="6:6" ht="15.75" customHeight="1" x14ac:dyDescent="0.25">
      <c r="F785" s="8"/>
    </row>
    <row r="786" spans="6:6" ht="15.75" customHeight="1" x14ac:dyDescent="0.25">
      <c r="F786" s="8"/>
    </row>
    <row r="787" spans="6:6" ht="15.75" customHeight="1" x14ac:dyDescent="0.25">
      <c r="F787" s="8"/>
    </row>
    <row r="788" spans="6:6" ht="15.75" customHeight="1" x14ac:dyDescent="0.25">
      <c r="F788" s="8"/>
    </row>
    <row r="789" spans="6:6" ht="15.75" customHeight="1" x14ac:dyDescent="0.25">
      <c r="F789" s="8"/>
    </row>
    <row r="790" spans="6:6" ht="15.75" customHeight="1" x14ac:dyDescent="0.25">
      <c r="F790" s="8"/>
    </row>
    <row r="791" spans="6:6" ht="15.75" customHeight="1" x14ac:dyDescent="0.25">
      <c r="F791" s="8"/>
    </row>
    <row r="792" spans="6:6" ht="15.75" customHeight="1" x14ac:dyDescent="0.25">
      <c r="F792" s="8"/>
    </row>
    <row r="793" spans="6:6" ht="15.75" customHeight="1" x14ac:dyDescent="0.25">
      <c r="F793" s="8"/>
    </row>
    <row r="794" spans="6:6" ht="15.75" customHeight="1" x14ac:dyDescent="0.25">
      <c r="F794" s="8"/>
    </row>
    <row r="795" spans="6:6" ht="15.75" customHeight="1" x14ac:dyDescent="0.25">
      <c r="F795" s="8"/>
    </row>
    <row r="796" spans="6:6" ht="15.75" customHeight="1" x14ac:dyDescent="0.25">
      <c r="F796" s="8"/>
    </row>
    <row r="797" spans="6:6" ht="15.75" customHeight="1" x14ac:dyDescent="0.25">
      <c r="F797" s="8"/>
    </row>
    <row r="798" spans="6:6" ht="15.75" customHeight="1" x14ac:dyDescent="0.25">
      <c r="F798" s="8"/>
    </row>
    <row r="799" spans="6:6" ht="15.75" customHeight="1" x14ac:dyDescent="0.25">
      <c r="F799" s="8"/>
    </row>
    <row r="800" spans="6:6" ht="15.75" customHeight="1" x14ac:dyDescent="0.25">
      <c r="F800" s="8"/>
    </row>
    <row r="801" spans="6:6" ht="15.75" customHeight="1" x14ac:dyDescent="0.25">
      <c r="F801" s="8"/>
    </row>
    <row r="802" spans="6:6" ht="15.75" customHeight="1" x14ac:dyDescent="0.25">
      <c r="F802" s="8"/>
    </row>
    <row r="803" spans="6:6" ht="15.75" customHeight="1" x14ac:dyDescent="0.25">
      <c r="F803" s="8"/>
    </row>
    <row r="804" spans="6:6" ht="15.75" customHeight="1" x14ac:dyDescent="0.25">
      <c r="F804" s="8"/>
    </row>
    <row r="805" spans="6:6" ht="15.75" customHeight="1" x14ac:dyDescent="0.25">
      <c r="F805" s="8"/>
    </row>
    <row r="806" spans="6:6" ht="15.75" customHeight="1" x14ac:dyDescent="0.25">
      <c r="F806" s="8"/>
    </row>
    <row r="807" spans="6:6" ht="15.75" customHeight="1" x14ac:dyDescent="0.25">
      <c r="F807" s="8"/>
    </row>
    <row r="808" spans="6:6" ht="15.75" customHeight="1" x14ac:dyDescent="0.25">
      <c r="F808" s="8"/>
    </row>
    <row r="809" spans="6:6" ht="15.75" customHeight="1" x14ac:dyDescent="0.25">
      <c r="F809" s="8"/>
    </row>
    <row r="810" spans="6:6" ht="15.75" customHeight="1" x14ac:dyDescent="0.25">
      <c r="F810" s="8"/>
    </row>
    <row r="811" spans="6:6" ht="15.75" customHeight="1" x14ac:dyDescent="0.25">
      <c r="F811" s="8"/>
    </row>
    <row r="812" spans="6:6" ht="15.75" customHeight="1" x14ac:dyDescent="0.25">
      <c r="F812" s="8"/>
    </row>
    <row r="813" spans="6:6" ht="15.75" customHeight="1" x14ac:dyDescent="0.25">
      <c r="F813" s="8"/>
    </row>
    <row r="814" spans="6:6" ht="15.75" customHeight="1" x14ac:dyDescent="0.25">
      <c r="F814" s="8"/>
    </row>
    <row r="815" spans="6:6" ht="15.75" customHeight="1" x14ac:dyDescent="0.25">
      <c r="F815" s="8"/>
    </row>
    <row r="816" spans="6:6" ht="15.75" customHeight="1" x14ac:dyDescent="0.25">
      <c r="F816" s="8"/>
    </row>
    <row r="817" spans="6:6" ht="15.75" customHeight="1" x14ac:dyDescent="0.25">
      <c r="F817" s="8"/>
    </row>
    <row r="818" spans="6:6" ht="15.75" customHeight="1" x14ac:dyDescent="0.25">
      <c r="F818" s="8"/>
    </row>
    <row r="819" spans="6:6" ht="15.75" customHeight="1" x14ac:dyDescent="0.25">
      <c r="F819" s="8"/>
    </row>
    <row r="820" spans="6:6" ht="15.75" customHeight="1" x14ac:dyDescent="0.25">
      <c r="F820" s="8"/>
    </row>
    <row r="821" spans="6:6" ht="15.75" customHeight="1" x14ac:dyDescent="0.25">
      <c r="F821" s="8"/>
    </row>
    <row r="822" spans="6:6" ht="15.75" customHeight="1" x14ac:dyDescent="0.25">
      <c r="F822" s="8"/>
    </row>
    <row r="823" spans="6:6" ht="15.75" customHeight="1" x14ac:dyDescent="0.25">
      <c r="F823" s="8"/>
    </row>
    <row r="824" spans="6:6" ht="15.75" customHeight="1" x14ac:dyDescent="0.25">
      <c r="F824" s="8"/>
    </row>
    <row r="825" spans="6:6" ht="15.75" customHeight="1" x14ac:dyDescent="0.25">
      <c r="F825" s="8"/>
    </row>
    <row r="826" spans="6:6" ht="15.75" customHeight="1" x14ac:dyDescent="0.25">
      <c r="F826" s="8"/>
    </row>
    <row r="827" spans="6:6" ht="15.75" customHeight="1" x14ac:dyDescent="0.25">
      <c r="F827" s="8"/>
    </row>
    <row r="828" spans="6:6" ht="15.75" customHeight="1" x14ac:dyDescent="0.25">
      <c r="F828" s="8"/>
    </row>
    <row r="829" spans="6:6" ht="15.75" customHeight="1" x14ac:dyDescent="0.25">
      <c r="F829" s="8"/>
    </row>
    <row r="830" spans="6:6" ht="15.75" customHeight="1" x14ac:dyDescent="0.25">
      <c r="F830" s="8"/>
    </row>
    <row r="831" spans="6:6" ht="15.75" customHeight="1" x14ac:dyDescent="0.25">
      <c r="F831" s="8"/>
    </row>
    <row r="832" spans="6:6" ht="15.75" customHeight="1" x14ac:dyDescent="0.25">
      <c r="F832" s="8"/>
    </row>
    <row r="833" spans="6:6" ht="15.75" customHeight="1" x14ac:dyDescent="0.25">
      <c r="F833" s="8"/>
    </row>
    <row r="834" spans="6:6" ht="15.75" customHeight="1" x14ac:dyDescent="0.25">
      <c r="F834" s="8"/>
    </row>
    <row r="835" spans="6:6" ht="15.75" customHeight="1" x14ac:dyDescent="0.25">
      <c r="F835" s="8"/>
    </row>
    <row r="836" spans="6:6" ht="15.75" customHeight="1" x14ac:dyDescent="0.25">
      <c r="F836" s="8"/>
    </row>
    <row r="837" spans="6:6" ht="15.75" customHeight="1" x14ac:dyDescent="0.25">
      <c r="F837" s="8"/>
    </row>
    <row r="838" spans="6:6" ht="15.75" customHeight="1" x14ac:dyDescent="0.25">
      <c r="F838" s="8"/>
    </row>
    <row r="839" spans="6:6" ht="15.75" customHeight="1" x14ac:dyDescent="0.25">
      <c r="F839" s="8"/>
    </row>
    <row r="840" spans="6:6" ht="15.75" customHeight="1" x14ac:dyDescent="0.25">
      <c r="F840" s="8"/>
    </row>
    <row r="841" spans="6:6" ht="15.75" customHeight="1" x14ac:dyDescent="0.25">
      <c r="F841" s="8"/>
    </row>
    <row r="842" spans="6:6" ht="15.75" customHeight="1" x14ac:dyDescent="0.25">
      <c r="F842" s="8"/>
    </row>
    <row r="843" spans="6:6" ht="15.75" customHeight="1" x14ac:dyDescent="0.25">
      <c r="F843" s="8"/>
    </row>
    <row r="844" spans="6:6" ht="15.75" customHeight="1" x14ac:dyDescent="0.25">
      <c r="F844" s="8"/>
    </row>
    <row r="845" spans="6:6" ht="15.75" customHeight="1" x14ac:dyDescent="0.25">
      <c r="F845" s="8"/>
    </row>
    <row r="846" spans="6:6" ht="15.75" customHeight="1" x14ac:dyDescent="0.25">
      <c r="F846" s="8"/>
    </row>
    <row r="847" spans="6:6" ht="15.75" customHeight="1" x14ac:dyDescent="0.25">
      <c r="F847" s="8"/>
    </row>
    <row r="848" spans="6:6" ht="15.75" customHeight="1" x14ac:dyDescent="0.25">
      <c r="F848" s="8"/>
    </row>
    <row r="849" spans="6:6" ht="15.75" customHeight="1" x14ac:dyDescent="0.25">
      <c r="F849" s="8"/>
    </row>
    <row r="850" spans="6:6" ht="15.75" customHeight="1" x14ac:dyDescent="0.25">
      <c r="F850" s="8"/>
    </row>
    <row r="851" spans="6:6" ht="15.75" customHeight="1" x14ac:dyDescent="0.25">
      <c r="F851" s="8"/>
    </row>
    <row r="852" spans="6:6" ht="15.75" customHeight="1" x14ac:dyDescent="0.25">
      <c r="F852" s="8"/>
    </row>
    <row r="853" spans="6:6" ht="15.75" customHeight="1" x14ac:dyDescent="0.25">
      <c r="F853" s="8"/>
    </row>
    <row r="854" spans="6:6" ht="15.75" customHeight="1" x14ac:dyDescent="0.25">
      <c r="F854" s="8"/>
    </row>
    <row r="855" spans="6:6" ht="15.75" customHeight="1" x14ac:dyDescent="0.25">
      <c r="F855" s="8"/>
    </row>
    <row r="856" spans="6:6" ht="15.75" customHeight="1" x14ac:dyDescent="0.25">
      <c r="F856" s="8"/>
    </row>
    <row r="857" spans="6:6" ht="15.75" customHeight="1" x14ac:dyDescent="0.25">
      <c r="F857" s="8"/>
    </row>
    <row r="858" spans="6:6" ht="15.75" customHeight="1" x14ac:dyDescent="0.25">
      <c r="F858" s="8"/>
    </row>
    <row r="859" spans="6:6" ht="15.75" customHeight="1" x14ac:dyDescent="0.25">
      <c r="F859" s="8"/>
    </row>
    <row r="860" spans="6:6" ht="15.75" customHeight="1" x14ac:dyDescent="0.25">
      <c r="F860" s="8"/>
    </row>
    <row r="861" spans="6:6" ht="15.75" customHeight="1" x14ac:dyDescent="0.25">
      <c r="F861" s="8"/>
    </row>
    <row r="862" spans="6:6" ht="15.75" customHeight="1" x14ac:dyDescent="0.25">
      <c r="F862" s="8"/>
    </row>
    <row r="863" spans="6:6" ht="15.75" customHeight="1" x14ac:dyDescent="0.25">
      <c r="F863" s="8"/>
    </row>
    <row r="864" spans="6:6" ht="15.75" customHeight="1" x14ac:dyDescent="0.25">
      <c r="F864" s="8"/>
    </row>
    <row r="865" spans="6:6" ht="15.75" customHeight="1" x14ac:dyDescent="0.25">
      <c r="F865" s="8"/>
    </row>
    <row r="866" spans="6:6" ht="15.75" customHeight="1" x14ac:dyDescent="0.25">
      <c r="F866" s="8"/>
    </row>
    <row r="867" spans="6:6" ht="15.75" customHeight="1" x14ac:dyDescent="0.25">
      <c r="F867" s="8"/>
    </row>
    <row r="868" spans="6:6" ht="15.75" customHeight="1" x14ac:dyDescent="0.25">
      <c r="F868" s="8"/>
    </row>
    <row r="869" spans="6:6" ht="15.75" customHeight="1" x14ac:dyDescent="0.25">
      <c r="F869" s="8"/>
    </row>
    <row r="870" spans="6:6" ht="15.75" customHeight="1" x14ac:dyDescent="0.25">
      <c r="F870" s="8"/>
    </row>
    <row r="871" spans="6:6" ht="15.75" customHeight="1" x14ac:dyDescent="0.25">
      <c r="F871" s="8"/>
    </row>
    <row r="872" spans="6:6" ht="15.75" customHeight="1" x14ac:dyDescent="0.25">
      <c r="F872" s="8"/>
    </row>
    <row r="873" spans="6:6" ht="15.75" customHeight="1" x14ac:dyDescent="0.25">
      <c r="F873" s="8"/>
    </row>
    <row r="874" spans="6:6" ht="15.75" customHeight="1" x14ac:dyDescent="0.25">
      <c r="F874" s="8"/>
    </row>
    <row r="875" spans="6:6" ht="15.75" customHeight="1" x14ac:dyDescent="0.25">
      <c r="F875" s="8"/>
    </row>
    <row r="876" spans="6:6" ht="15.75" customHeight="1" x14ac:dyDescent="0.25">
      <c r="F876" s="8"/>
    </row>
    <row r="877" spans="6:6" ht="15.75" customHeight="1" x14ac:dyDescent="0.25">
      <c r="F877" s="8"/>
    </row>
    <row r="878" spans="6:6" ht="15.75" customHeight="1" x14ac:dyDescent="0.25">
      <c r="F878" s="8"/>
    </row>
    <row r="879" spans="6:6" ht="15.75" customHeight="1" x14ac:dyDescent="0.25">
      <c r="F879" s="8"/>
    </row>
    <row r="880" spans="6:6" ht="15.75" customHeight="1" x14ac:dyDescent="0.25">
      <c r="F880" s="8"/>
    </row>
    <row r="881" spans="6:6" ht="15.75" customHeight="1" x14ac:dyDescent="0.25">
      <c r="F881" s="8"/>
    </row>
    <row r="882" spans="6:6" ht="15.75" customHeight="1" x14ac:dyDescent="0.25">
      <c r="F882" s="8"/>
    </row>
    <row r="883" spans="6:6" ht="15.75" customHeight="1" x14ac:dyDescent="0.25">
      <c r="F883" s="8"/>
    </row>
    <row r="884" spans="6:6" ht="15.75" customHeight="1" x14ac:dyDescent="0.25">
      <c r="F884" s="8"/>
    </row>
    <row r="885" spans="6:6" ht="15.75" customHeight="1" x14ac:dyDescent="0.25">
      <c r="F885" s="8"/>
    </row>
    <row r="886" spans="6:6" ht="15.75" customHeight="1" x14ac:dyDescent="0.25">
      <c r="F886" s="8"/>
    </row>
    <row r="887" spans="6:6" ht="15.75" customHeight="1" x14ac:dyDescent="0.25">
      <c r="F887" s="8"/>
    </row>
    <row r="888" spans="6:6" ht="15.75" customHeight="1" x14ac:dyDescent="0.25">
      <c r="F888" s="8"/>
    </row>
    <row r="889" spans="6:6" ht="15.75" customHeight="1" x14ac:dyDescent="0.25">
      <c r="F889" s="8"/>
    </row>
    <row r="890" spans="6:6" ht="15.75" customHeight="1" x14ac:dyDescent="0.25">
      <c r="F890" s="8"/>
    </row>
    <row r="891" spans="6:6" ht="15.75" customHeight="1" x14ac:dyDescent="0.25">
      <c r="F891" s="8"/>
    </row>
    <row r="892" spans="6:6" ht="15.75" customHeight="1" x14ac:dyDescent="0.25">
      <c r="F892" s="8"/>
    </row>
    <row r="893" spans="6:6" ht="15.75" customHeight="1" x14ac:dyDescent="0.25">
      <c r="F893" s="8"/>
    </row>
    <row r="894" spans="6:6" ht="15.75" customHeight="1" x14ac:dyDescent="0.25">
      <c r="F894" s="8"/>
    </row>
    <row r="895" spans="6:6" ht="15.75" customHeight="1" x14ac:dyDescent="0.25">
      <c r="F895" s="8"/>
    </row>
    <row r="896" spans="6:6" ht="15.75" customHeight="1" x14ac:dyDescent="0.25">
      <c r="F896" s="8"/>
    </row>
    <row r="897" spans="6:6" ht="15.75" customHeight="1" x14ac:dyDescent="0.25">
      <c r="F897" s="8"/>
    </row>
    <row r="898" spans="6:6" ht="15.75" customHeight="1" x14ac:dyDescent="0.25">
      <c r="F898" s="8"/>
    </row>
    <row r="899" spans="6:6" ht="15.75" customHeight="1" x14ac:dyDescent="0.25">
      <c r="F899" s="8"/>
    </row>
    <row r="900" spans="6:6" ht="15.75" customHeight="1" x14ac:dyDescent="0.25">
      <c r="F900" s="8"/>
    </row>
    <row r="901" spans="6:6" ht="15.75" customHeight="1" x14ac:dyDescent="0.25">
      <c r="F901" s="8"/>
    </row>
    <row r="902" spans="6:6" ht="15.75" customHeight="1" x14ac:dyDescent="0.25">
      <c r="F902" s="8"/>
    </row>
    <row r="903" spans="6:6" ht="15.75" customHeight="1" x14ac:dyDescent="0.25">
      <c r="F903" s="8"/>
    </row>
    <row r="904" spans="6:6" ht="15.75" customHeight="1" x14ac:dyDescent="0.25">
      <c r="F904" s="8"/>
    </row>
    <row r="905" spans="6:6" ht="15.75" customHeight="1" x14ac:dyDescent="0.25">
      <c r="F905" s="8"/>
    </row>
    <row r="906" spans="6:6" ht="15.75" customHeight="1" x14ac:dyDescent="0.25">
      <c r="F906" s="8"/>
    </row>
    <row r="907" spans="6:6" ht="15.75" customHeight="1" x14ac:dyDescent="0.25">
      <c r="F907" s="8"/>
    </row>
    <row r="908" spans="6:6" ht="15.75" customHeight="1" x14ac:dyDescent="0.25">
      <c r="F908" s="8"/>
    </row>
    <row r="909" spans="6:6" ht="15.75" customHeight="1" x14ac:dyDescent="0.25">
      <c r="F909" s="8"/>
    </row>
    <row r="910" spans="6:6" ht="15.75" customHeight="1" x14ac:dyDescent="0.25">
      <c r="F910" s="8"/>
    </row>
    <row r="911" spans="6:6" ht="15.75" customHeight="1" x14ac:dyDescent="0.25">
      <c r="F911" s="8"/>
    </row>
    <row r="912" spans="6:6" ht="15.75" customHeight="1" x14ac:dyDescent="0.25">
      <c r="F912" s="8"/>
    </row>
    <row r="913" spans="6:6" ht="15.75" customHeight="1" x14ac:dyDescent="0.25">
      <c r="F913" s="8"/>
    </row>
    <row r="914" spans="6:6" ht="15.75" customHeight="1" x14ac:dyDescent="0.25">
      <c r="F914" s="8"/>
    </row>
    <row r="915" spans="6:6" ht="15.75" customHeight="1" x14ac:dyDescent="0.25">
      <c r="F915" s="8"/>
    </row>
    <row r="916" spans="6:6" ht="15.75" customHeight="1" x14ac:dyDescent="0.25">
      <c r="F916" s="8"/>
    </row>
    <row r="917" spans="6:6" ht="15.75" customHeight="1" x14ac:dyDescent="0.25">
      <c r="F917" s="8"/>
    </row>
    <row r="918" spans="6:6" ht="15.75" customHeight="1" x14ac:dyDescent="0.25">
      <c r="F918" s="8"/>
    </row>
    <row r="919" spans="6:6" ht="15.75" customHeight="1" x14ac:dyDescent="0.25">
      <c r="F919" s="8"/>
    </row>
    <row r="920" spans="6:6" ht="15.75" customHeight="1" x14ac:dyDescent="0.25">
      <c r="F920" s="8"/>
    </row>
    <row r="921" spans="6:6" ht="15.75" customHeight="1" x14ac:dyDescent="0.25">
      <c r="F921" s="8"/>
    </row>
    <row r="922" spans="6:6" ht="15.75" customHeight="1" x14ac:dyDescent="0.25">
      <c r="F922" s="8"/>
    </row>
    <row r="923" spans="6:6" ht="15.75" customHeight="1" x14ac:dyDescent="0.25">
      <c r="F923" s="8"/>
    </row>
    <row r="924" spans="6:6" ht="15.75" customHeight="1" x14ac:dyDescent="0.25">
      <c r="F924" s="8"/>
    </row>
    <row r="925" spans="6:6" ht="15.75" customHeight="1" x14ac:dyDescent="0.25">
      <c r="F925" s="8"/>
    </row>
    <row r="926" spans="6:6" ht="15.75" customHeight="1" x14ac:dyDescent="0.25">
      <c r="F926" s="8"/>
    </row>
    <row r="927" spans="6:6" ht="15.75" customHeight="1" x14ac:dyDescent="0.25">
      <c r="F927" s="8"/>
    </row>
    <row r="928" spans="6:6" ht="15.75" customHeight="1" x14ac:dyDescent="0.25">
      <c r="F928" s="8"/>
    </row>
    <row r="929" spans="6:6" ht="15.75" customHeight="1" x14ac:dyDescent="0.25">
      <c r="F929" s="8"/>
    </row>
    <row r="930" spans="6:6" ht="15.75" customHeight="1" x14ac:dyDescent="0.25">
      <c r="F930" s="8"/>
    </row>
    <row r="931" spans="6:6" ht="15.75" customHeight="1" x14ac:dyDescent="0.25">
      <c r="F931" s="8"/>
    </row>
    <row r="932" spans="6:6" ht="15.75" customHeight="1" x14ac:dyDescent="0.25">
      <c r="F932" s="8"/>
    </row>
    <row r="933" spans="6:6" ht="15.75" customHeight="1" x14ac:dyDescent="0.25">
      <c r="F933" s="8"/>
    </row>
    <row r="934" spans="6:6" ht="15.75" customHeight="1" x14ac:dyDescent="0.25">
      <c r="F934" s="8"/>
    </row>
    <row r="935" spans="6:6" ht="15.75" customHeight="1" x14ac:dyDescent="0.25">
      <c r="F935" s="8"/>
    </row>
    <row r="936" spans="6:6" ht="15.75" customHeight="1" x14ac:dyDescent="0.25">
      <c r="F936" s="8"/>
    </row>
    <row r="937" spans="6:6" ht="15.75" customHeight="1" x14ac:dyDescent="0.25">
      <c r="F937" s="8"/>
    </row>
    <row r="938" spans="6:6" ht="15.75" customHeight="1" x14ac:dyDescent="0.25">
      <c r="F938" s="8"/>
    </row>
    <row r="939" spans="6:6" ht="15.75" customHeight="1" x14ac:dyDescent="0.25">
      <c r="F939" s="8"/>
    </row>
    <row r="940" spans="6:6" ht="15.75" customHeight="1" x14ac:dyDescent="0.25">
      <c r="F940" s="8"/>
    </row>
    <row r="941" spans="6:6" ht="15.75" customHeight="1" x14ac:dyDescent="0.25">
      <c r="F941" s="8"/>
    </row>
    <row r="942" spans="6:6" ht="15.75" customHeight="1" x14ac:dyDescent="0.25">
      <c r="F942" s="8"/>
    </row>
    <row r="943" spans="6:6" ht="15.75" customHeight="1" x14ac:dyDescent="0.25">
      <c r="F943" s="8"/>
    </row>
    <row r="944" spans="6:6" ht="15.75" customHeight="1" x14ac:dyDescent="0.25">
      <c r="F944" s="8"/>
    </row>
    <row r="945" spans="6:6" ht="15.75" customHeight="1" x14ac:dyDescent="0.25">
      <c r="F945" s="8"/>
    </row>
    <row r="946" spans="6:6" ht="15.75" customHeight="1" x14ac:dyDescent="0.25">
      <c r="F946" s="8"/>
    </row>
    <row r="947" spans="6:6" ht="15.75" customHeight="1" x14ac:dyDescent="0.25">
      <c r="F947" s="8"/>
    </row>
    <row r="948" spans="6:6" ht="15.75" customHeight="1" x14ac:dyDescent="0.25">
      <c r="F948" s="8"/>
    </row>
    <row r="949" spans="6:6" ht="15.75" customHeight="1" x14ac:dyDescent="0.25">
      <c r="F949" s="8"/>
    </row>
    <row r="950" spans="6:6" ht="15.75" customHeight="1" x14ac:dyDescent="0.25">
      <c r="F950" s="8"/>
    </row>
    <row r="951" spans="6:6" ht="15.75" customHeight="1" x14ac:dyDescent="0.25">
      <c r="F951" s="8"/>
    </row>
    <row r="952" spans="6:6" ht="15.75" customHeight="1" x14ac:dyDescent="0.25">
      <c r="F952" s="8"/>
    </row>
    <row r="953" spans="6:6" ht="15.75" customHeight="1" x14ac:dyDescent="0.25">
      <c r="F953" s="8"/>
    </row>
    <row r="954" spans="6:6" ht="15.75" customHeight="1" x14ac:dyDescent="0.25">
      <c r="F954" s="8"/>
    </row>
    <row r="955" spans="6:6" ht="15.75" customHeight="1" x14ac:dyDescent="0.25">
      <c r="F955" s="8"/>
    </row>
    <row r="956" spans="6:6" ht="15.75" customHeight="1" x14ac:dyDescent="0.25">
      <c r="F956" s="8"/>
    </row>
    <row r="957" spans="6:6" ht="15.75" customHeight="1" x14ac:dyDescent="0.25">
      <c r="F957" s="8"/>
    </row>
    <row r="958" spans="6:6" ht="15.75" customHeight="1" x14ac:dyDescent="0.25">
      <c r="F958" s="8"/>
    </row>
    <row r="959" spans="6:6" ht="15.75" customHeight="1" x14ac:dyDescent="0.25">
      <c r="F959" s="8"/>
    </row>
    <row r="960" spans="6:6" ht="15.75" customHeight="1" x14ac:dyDescent="0.25">
      <c r="F960" s="8"/>
    </row>
    <row r="961" spans="6:6" ht="15.75" customHeight="1" x14ac:dyDescent="0.25">
      <c r="F961" s="8"/>
    </row>
    <row r="962" spans="6:6" ht="15.75" customHeight="1" x14ac:dyDescent="0.25">
      <c r="F962" s="8"/>
    </row>
    <row r="963" spans="6:6" ht="15.75" customHeight="1" x14ac:dyDescent="0.25">
      <c r="F963" s="8"/>
    </row>
    <row r="964" spans="6:6" ht="15.75" customHeight="1" x14ac:dyDescent="0.25">
      <c r="F964" s="8"/>
    </row>
    <row r="965" spans="6:6" ht="15.75" customHeight="1" x14ac:dyDescent="0.25">
      <c r="F965" s="8"/>
    </row>
    <row r="966" spans="6:6" ht="15.75" customHeight="1" x14ac:dyDescent="0.25">
      <c r="F966" s="8"/>
    </row>
    <row r="967" spans="6:6" ht="15.75" customHeight="1" x14ac:dyDescent="0.25">
      <c r="F967" s="8"/>
    </row>
    <row r="968" spans="6:6" ht="15.75" customHeight="1" x14ac:dyDescent="0.25">
      <c r="F968" s="8"/>
    </row>
    <row r="969" spans="6:6" ht="15.75" customHeight="1" x14ac:dyDescent="0.25">
      <c r="F969" s="8"/>
    </row>
    <row r="970" spans="6:6" ht="15.75" customHeight="1" x14ac:dyDescent="0.25">
      <c r="F970" s="8"/>
    </row>
    <row r="971" spans="6:6" ht="15.75" customHeight="1" x14ac:dyDescent="0.25">
      <c r="F971" s="8"/>
    </row>
    <row r="972" spans="6:6" ht="15.75" customHeight="1" x14ac:dyDescent="0.25">
      <c r="F972" s="8"/>
    </row>
    <row r="973" spans="6:6" ht="15.75" customHeight="1" x14ac:dyDescent="0.25">
      <c r="F973" s="8"/>
    </row>
    <row r="974" spans="6:6" ht="15.75" customHeight="1" x14ac:dyDescent="0.25">
      <c r="F974" s="8"/>
    </row>
    <row r="975" spans="6:6" ht="15.75" customHeight="1" x14ac:dyDescent="0.25">
      <c r="F975" s="8"/>
    </row>
    <row r="976" spans="6:6" ht="15.75" customHeight="1" x14ac:dyDescent="0.25">
      <c r="F976" s="8"/>
    </row>
    <row r="977" spans="6:6" ht="15.75" customHeight="1" x14ac:dyDescent="0.25">
      <c r="F977" s="8"/>
    </row>
    <row r="978" spans="6:6" ht="15.75" customHeight="1" x14ac:dyDescent="0.25">
      <c r="F978" s="8"/>
    </row>
    <row r="979" spans="6:6" ht="15.75" customHeight="1" x14ac:dyDescent="0.25">
      <c r="F979" s="8"/>
    </row>
    <row r="980" spans="6:6" ht="15.75" customHeight="1" x14ac:dyDescent="0.25">
      <c r="F980" s="8"/>
    </row>
    <row r="981" spans="6:6" ht="15.75" customHeight="1" x14ac:dyDescent="0.25">
      <c r="F981" s="8"/>
    </row>
    <row r="982" spans="6:6" ht="15.75" customHeight="1" x14ac:dyDescent="0.25">
      <c r="F982" s="8"/>
    </row>
    <row r="983" spans="6:6" ht="15.75" customHeight="1" x14ac:dyDescent="0.25">
      <c r="F983" s="8"/>
    </row>
    <row r="984" spans="6:6" ht="15.75" customHeight="1" x14ac:dyDescent="0.25">
      <c r="F984" s="8"/>
    </row>
    <row r="985" spans="6:6" ht="15.75" customHeight="1" x14ac:dyDescent="0.25">
      <c r="F985" s="8"/>
    </row>
    <row r="986" spans="6:6" ht="15.75" customHeight="1" x14ac:dyDescent="0.25">
      <c r="F986" s="8"/>
    </row>
    <row r="987" spans="6:6" ht="15.75" customHeight="1" x14ac:dyDescent="0.25">
      <c r="F987" s="8"/>
    </row>
    <row r="988" spans="6:6" ht="15.75" customHeight="1" x14ac:dyDescent="0.25">
      <c r="F988" s="8"/>
    </row>
    <row r="989" spans="6:6" ht="15.75" customHeight="1" x14ac:dyDescent="0.25">
      <c r="F989" s="8"/>
    </row>
    <row r="990" spans="6:6" ht="15.75" customHeight="1" x14ac:dyDescent="0.25">
      <c r="F990" s="8"/>
    </row>
    <row r="991" spans="6:6" ht="15.75" customHeight="1" x14ac:dyDescent="0.25">
      <c r="F991" s="8"/>
    </row>
    <row r="992" spans="6:6" ht="15.75" customHeight="1" x14ac:dyDescent="0.25">
      <c r="F992" s="8"/>
    </row>
    <row r="993" spans="6:6" ht="15.75" customHeight="1" x14ac:dyDescent="0.25">
      <c r="F993" s="8"/>
    </row>
    <row r="994" spans="6:6" ht="15.75" customHeight="1" x14ac:dyDescent="0.25">
      <c r="F994" s="8"/>
    </row>
    <row r="995" spans="6:6" ht="15.75" customHeight="1" x14ac:dyDescent="0.25">
      <c r="F995" s="8"/>
    </row>
    <row r="996" spans="6:6" ht="15.75" customHeight="1" x14ac:dyDescent="0.25">
      <c r="F996" s="8"/>
    </row>
    <row r="997" spans="6:6" ht="15.75" customHeight="1" x14ac:dyDescent="0.25">
      <c r="F997" s="8"/>
    </row>
    <row r="998" spans="6:6" ht="15.75" customHeight="1" x14ac:dyDescent="0.25">
      <c r="F998" s="8"/>
    </row>
    <row r="999" spans="6:6" ht="15.75" customHeight="1" x14ac:dyDescent="0.25">
      <c r="F999" s="8"/>
    </row>
    <row r="1000" spans="6:6" ht="15.75" customHeight="1" x14ac:dyDescent="0.25">
      <c r="F1000" s="8"/>
    </row>
    <row r="1001" spans="6:6" ht="15.75" customHeight="1" x14ac:dyDescent="0.25">
      <c r="F1001" s="8"/>
    </row>
    <row r="1002" spans="6:6" ht="15.75" customHeight="1" x14ac:dyDescent="0.25">
      <c r="F1002" s="8"/>
    </row>
    <row r="1003" spans="6:6" ht="15.75" customHeight="1" x14ac:dyDescent="0.25">
      <c r="F1003" s="8"/>
    </row>
    <row r="1004" spans="6:6" ht="15.75" customHeight="1" x14ac:dyDescent="0.25">
      <c r="F1004" s="8"/>
    </row>
    <row r="1005" spans="6:6" ht="15.75" customHeight="1" x14ac:dyDescent="0.25">
      <c r="F1005" s="8"/>
    </row>
    <row r="1006" spans="6:6" ht="15.75" customHeight="1" x14ac:dyDescent="0.25">
      <c r="F1006" s="8"/>
    </row>
    <row r="1007" spans="6:6" ht="15.75" customHeight="1" x14ac:dyDescent="0.25">
      <c r="F1007" s="8"/>
    </row>
    <row r="1008" spans="6:6" ht="15.75" customHeight="1" x14ac:dyDescent="0.25">
      <c r="F1008" s="8"/>
    </row>
    <row r="1009" spans="6:6" ht="15.75" customHeight="1" x14ac:dyDescent="0.25">
      <c r="F1009" s="8"/>
    </row>
    <row r="1010" spans="6:6" ht="15.75" customHeight="1" x14ac:dyDescent="0.25">
      <c r="F1010" s="8"/>
    </row>
    <row r="1011" spans="6:6" ht="15.75" customHeight="1" x14ac:dyDescent="0.25">
      <c r="F1011" s="8"/>
    </row>
    <row r="1012" spans="6:6" ht="15.75" customHeight="1" x14ac:dyDescent="0.25">
      <c r="F1012" s="8"/>
    </row>
    <row r="1013" spans="6:6" ht="15.75" customHeight="1" x14ac:dyDescent="0.25">
      <c r="F1013" s="8"/>
    </row>
    <row r="1014" spans="6:6" ht="15.75" customHeight="1" x14ac:dyDescent="0.25">
      <c r="F1014" s="8"/>
    </row>
    <row r="1015" spans="6:6" ht="15.75" customHeight="1" x14ac:dyDescent="0.25">
      <c r="F1015" s="8"/>
    </row>
    <row r="1016" spans="6:6" ht="15.75" customHeight="1" x14ac:dyDescent="0.25">
      <c r="F1016" s="8"/>
    </row>
    <row r="1017" spans="6:6" ht="15.75" customHeight="1" x14ac:dyDescent="0.25">
      <c r="F1017" s="8"/>
    </row>
    <row r="1018" spans="6:6" ht="15.75" customHeight="1" x14ac:dyDescent="0.25">
      <c r="F1018" s="8"/>
    </row>
    <row r="1019" spans="6:6" ht="15.75" customHeight="1" x14ac:dyDescent="0.25">
      <c r="F1019" s="8"/>
    </row>
    <row r="1020" spans="6:6" ht="15.75" customHeight="1" x14ac:dyDescent="0.25">
      <c r="F1020" s="8"/>
    </row>
  </sheetData>
  <mergeCells count="13">
    <mergeCell ref="G3:I3"/>
    <mergeCell ref="J3:L3"/>
    <mergeCell ref="M3:O3"/>
    <mergeCell ref="P3:S3"/>
    <mergeCell ref="A1:Y1"/>
    <mergeCell ref="T3:V3"/>
    <mergeCell ref="W3:Y3"/>
    <mergeCell ref="F3:F4"/>
    <mergeCell ref="B3:B4"/>
    <mergeCell ref="A3:A4"/>
    <mergeCell ref="C3:C4"/>
    <mergeCell ref="D3:D4"/>
    <mergeCell ref="E3:E4"/>
  </mergeCells>
  <pageMargins left="0.5" right="0.35" top="0.75" bottom="0.75" header="0.3" footer="0.3"/>
  <pageSetup paperSize="9" scale="80" orientation="portrait" verticalDpi="0" r:id="rId1"/>
  <headerFooter differentFirst="1">
    <oddHeader>&amp;C&amp;P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C0F7-4B4C-44BC-A4E3-95456C65FC6E}">
  <dimension ref="A1:E169"/>
  <sheetViews>
    <sheetView tabSelected="1" zoomScale="99" workbookViewId="0">
      <selection activeCell="F22" sqref="F22"/>
    </sheetView>
  </sheetViews>
  <sheetFormatPr defaultRowHeight="13.2" x14ac:dyDescent="0.25"/>
  <cols>
    <col min="1" max="1" width="11" style="39" customWidth="1"/>
    <col min="2" max="2" width="16.109375" style="39" customWidth="1"/>
    <col min="3" max="3" width="24.33203125" customWidth="1"/>
  </cols>
  <sheetData>
    <row r="1" spans="1:5" x14ac:dyDescent="0.25">
      <c r="A1" s="41" t="s">
        <v>612</v>
      </c>
      <c r="B1" s="41" t="s">
        <v>611</v>
      </c>
      <c r="C1" s="41" t="s">
        <v>404</v>
      </c>
      <c r="D1" s="53" t="s">
        <v>616</v>
      </c>
      <c r="E1" s="41" t="s">
        <v>617</v>
      </c>
    </row>
    <row r="2" spans="1:5" x14ac:dyDescent="0.25">
      <c r="A2" s="39">
        <v>1</v>
      </c>
      <c r="B2" s="39" t="s">
        <v>429</v>
      </c>
      <c r="C2" t="s">
        <v>430</v>
      </c>
      <c r="D2" t="s">
        <v>614</v>
      </c>
      <c r="E2">
        <v>26743</v>
      </c>
    </row>
    <row r="3" spans="1:5" x14ac:dyDescent="0.25">
      <c r="A3" s="39">
        <v>1</v>
      </c>
      <c r="B3" s="39" t="s">
        <v>429</v>
      </c>
      <c r="C3" t="s">
        <v>455</v>
      </c>
      <c r="D3" t="s">
        <v>614</v>
      </c>
      <c r="E3">
        <v>26758</v>
      </c>
    </row>
    <row r="4" spans="1:5" x14ac:dyDescent="0.25">
      <c r="A4" s="39">
        <v>1</v>
      </c>
      <c r="B4" s="39" t="s">
        <v>429</v>
      </c>
      <c r="C4" t="s">
        <v>502</v>
      </c>
      <c r="D4" t="s">
        <v>614</v>
      </c>
      <c r="E4">
        <v>26740</v>
      </c>
    </row>
    <row r="5" spans="1:5" x14ac:dyDescent="0.25">
      <c r="A5" s="39">
        <v>1</v>
      </c>
      <c r="B5" s="39" t="s">
        <v>429</v>
      </c>
      <c r="C5" t="s">
        <v>508</v>
      </c>
      <c r="D5" t="s">
        <v>614</v>
      </c>
      <c r="E5">
        <v>26737</v>
      </c>
    </row>
    <row r="6" spans="1:5" x14ac:dyDescent="0.25">
      <c r="A6" s="39">
        <v>3</v>
      </c>
      <c r="B6" s="39" t="s">
        <v>423</v>
      </c>
      <c r="C6" t="s">
        <v>424</v>
      </c>
      <c r="D6" t="s">
        <v>614</v>
      </c>
      <c r="E6">
        <v>27154</v>
      </c>
    </row>
    <row r="7" spans="1:5" x14ac:dyDescent="0.25">
      <c r="A7" s="39">
        <v>3</v>
      </c>
      <c r="B7" s="39" t="s">
        <v>423</v>
      </c>
      <c r="C7" t="s">
        <v>485</v>
      </c>
      <c r="D7" t="s">
        <v>614</v>
      </c>
      <c r="E7">
        <v>27142</v>
      </c>
    </row>
    <row r="8" spans="1:5" x14ac:dyDescent="0.25">
      <c r="A8" s="39">
        <v>3</v>
      </c>
      <c r="B8" s="39" t="s">
        <v>423</v>
      </c>
      <c r="C8" t="s">
        <v>543</v>
      </c>
      <c r="D8" t="s">
        <v>614</v>
      </c>
      <c r="E8">
        <v>27139</v>
      </c>
    </row>
    <row r="9" spans="1:5" x14ac:dyDescent="0.25">
      <c r="A9" s="39">
        <v>4</v>
      </c>
      <c r="B9" s="39" t="s">
        <v>475</v>
      </c>
      <c r="C9" t="s">
        <v>476</v>
      </c>
      <c r="D9" t="s">
        <v>614</v>
      </c>
      <c r="E9">
        <v>27265</v>
      </c>
    </row>
    <row r="10" spans="1:5" x14ac:dyDescent="0.25">
      <c r="A10" s="39">
        <v>4</v>
      </c>
      <c r="B10" s="39" t="s">
        <v>475</v>
      </c>
      <c r="C10" t="s">
        <v>538</v>
      </c>
      <c r="D10" t="s">
        <v>614</v>
      </c>
      <c r="E10">
        <v>27286</v>
      </c>
    </row>
    <row r="11" spans="1:5" x14ac:dyDescent="0.25">
      <c r="A11" s="39">
        <v>4</v>
      </c>
      <c r="B11" s="39" t="s">
        <v>475</v>
      </c>
      <c r="C11" t="s">
        <v>542</v>
      </c>
      <c r="D11" t="s">
        <v>614</v>
      </c>
      <c r="E11">
        <v>27259</v>
      </c>
    </row>
    <row r="12" spans="1:5" x14ac:dyDescent="0.25">
      <c r="A12" s="39">
        <v>5</v>
      </c>
      <c r="B12" s="39" t="s">
        <v>407</v>
      </c>
      <c r="C12" t="s">
        <v>408</v>
      </c>
      <c r="D12" t="s">
        <v>614</v>
      </c>
      <c r="E12">
        <v>27316</v>
      </c>
    </row>
    <row r="13" spans="1:5" x14ac:dyDescent="0.25">
      <c r="A13" s="39">
        <v>5</v>
      </c>
      <c r="B13" s="39" t="s">
        <v>407</v>
      </c>
      <c r="C13" t="s">
        <v>459</v>
      </c>
      <c r="D13" t="s">
        <v>614</v>
      </c>
      <c r="E13">
        <v>27343</v>
      </c>
    </row>
    <row r="14" spans="1:5" x14ac:dyDescent="0.25">
      <c r="A14" s="39">
        <v>5</v>
      </c>
      <c r="B14" s="39" t="s">
        <v>407</v>
      </c>
      <c r="C14" t="s">
        <v>460</v>
      </c>
      <c r="D14" t="s">
        <v>614</v>
      </c>
      <c r="E14">
        <v>27301</v>
      </c>
    </row>
    <row r="15" spans="1:5" x14ac:dyDescent="0.25">
      <c r="A15" s="39">
        <v>6</v>
      </c>
      <c r="B15" s="39" t="s">
        <v>441</v>
      </c>
      <c r="C15" t="s">
        <v>442</v>
      </c>
      <c r="D15" t="s">
        <v>614</v>
      </c>
      <c r="E15">
        <v>27364</v>
      </c>
    </row>
    <row r="16" spans="1:5" x14ac:dyDescent="0.25">
      <c r="A16" s="39">
        <v>6</v>
      </c>
      <c r="B16" s="39" t="s">
        <v>441</v>
      </c>
      <c r="C16" t="s">
        <v>445</v>
      </c>
      <c r="D16" t="s">
        <v>614</v>
      </c>
      <c r="E16">
        <v>27367</v>
      </c>
    </row>
    <row r="17" spans="1:5" x14ac:dyDescent="0.25">
      <c r="A17" s="39">
        <v>6</v>
      </c>
      <c r="B17" s="39" t="s">
        <v>441</v>
      </c>
      <c r="C17" t="s">
        <v>446</v>
      </c>
      <c r="D17" t="s">
        <v>614</v>
      </c>
      <c r="E17">
        <v>27373</v>
      </c>
    </row>
    <row r="18" spans="1:5" x14ac:dyDescent="0.25">
      <c r="A18" s="39">
        <v>6</v>
      </c>
      <c r="B18" s="39" t="s">
        <v>441</v>
      </c>
      <c r="C18" t="s">
        <v>488</v>
      </c>
      <c r="D18" t="s">
        <v>614</v>
      </c>
      <c r="E18">
        <v>27349</v>
      </c>
    </row>
    <row r="19" spans="1:5" ht="19.2" customHeight="1" x14ac:dyDescent="0.25">
      <c r="A19" s="39">
        <v>7</v>
      </c>
      <c r="B19" s="39" t="s">
        <v>497</v>
      </c>
      <c r="C19" s="52" t="s">
        <v>610</v>
      </c>
      <c r="D19" t="s">
        <v>614</v>
      </c>
      <c r="E19">
        <v>27484</v>
      </c>
    </row>
    <row r="20" spans="1:5" x14ac:dyDescent="0.25">
      <c r="A20" s="39">
        <v>7</v>
      </c>
      <c r="B20" s="39" t="s">
        <v>497</v>
      </c>
      <c r="C20" t="s">
        <v>513</v>
      </c>
      <c r="D20" t="s">
        <v>614</v>
      </c>
      <c r="E20">
        <v>27475</v>
      </c>
    </row>
    <row r="21" spans="1:5" x14ac:dyDescent="0.25">
      <c r="A21" s="39">
        <v>7</v>
      </c>
      <c r="B21" s="39" t="s">
        <v>497</v>
      </c>
      <c r="C21" t="s">
        <v>515</v>
      </c>
      <c r="D21" t="s">
        <v>614</v>
      </c>
      <c r="E21">
        <v>27487</v>
      </c>
    </row>
    <row r="22" spans="1:5" x14ac:dyDescent="0.25">
      <c r="A22" s="39">
        <v>7</v>
      </c>
      <c r="B22" s="39" t="s">
        <v>497</v>
      </c>
      <c r="C22" t="s">
        <v>525</v>
      </c>
      <c r="D22" t="s">
        <v>614</v>
      </c>
      <c r="E22">
        <v>27478</v>
      </c>
    </row>
    <row r="23" spans="1:5" x14ac:dyDescent="0.25">
      <c r="A23" s="39">
        <v>8</v>
      </c>
      <c r="B23" s="39" t="s">
        <v>435</v>
      </c>
      <c r="C23" t="s">
        <v>436</v>
      </c>
      <c r="D23" t="s">
        <v>614</v>
      </c>
      <c r="E23">
        <v>27424</v>
      </c>
    </row>
    <row r="24" spans="1:5" x14ac:dyDescent="0.25">
      <c r="A24" s="39">
        <v>8</v>
      </c>
      <c r="B24" s="39" t="s">
        <v>435</v>
      </c>
      <c r="C24" t="s">
        <v>457</v>
      </c>
      <c r="D24" t="s">
        <v>614</v>
      </c>
      <c r="E24">
        <v>27418</v>
      </c>
    </row>
    <row r="25" spans="1:5" x14ac:dyDescent="0.25">
      <c r="A25" s="39">
        <v>8</v>
      </c>
      <c r="B25" s="39" t="s">
        <v>435</v>
      </c>
      <c r="C25" t="s">
        <v>487</v>
      </c>
      <c r="D25" t="s">
        <v>614</v>
      </c>
      <c r="E25">
        <v>27427</v>
      </c>
    </row>
    <row r="26" spans="1:5" x14ac:dyDescent="0.25">
      <c r="A26" s="39">
        <v>10</v>
      </c>
      <c r="B26" s="39" t="s">
        <v>463</v>
      </c>
      <c r="C26" t="s">
        <v>464</v>
      </c>
      <c r="D26" t="s">
        <v>614</v>
      </c>
      <c r="E26">
        <v>27169</v>
      </c>
    </row>
    <row r="27" spans="1:5" x14ac:dyDescent="0.25">
      <c r="A27" s="39">
        <v>10</v>
      </c>
      <c r="B27" s="39" t="s">
        <v>463</v>
      </c>
      <c r="C27" t="s">
        <v>473</v>
      </c>
      <c r="D27" t="s">
        <v>614</v>
      </c>
      <c r="E27">
        <v>27163</v>
      </c>
    </row>
    <row r="28" spans="1:5" x14ac:dyDescent="0.25">
      <c r="A28" s="39">
        <v>10</v>
      </c>
      <c r="B28" s="39" t="s">
        <v>463</v>
      </c>
      <c r="C28" t="s">
        <v>541</v>
      </c>
      <c r="D28" t="s">
        <v>614</v>
      </c>
      <c r="E28">
        <v>27190</v>
      </c>
    </row>
    <row r="29" spans="1:5" x14ac:dyDescent="0.25">
      <c r="A29" s="39">
        <v>11</v>
      </c>
      <c r="B29" s="39" t="s">
        <v>448</v>
      </c>
      <c r="C29" t="s">
        <v>449</v>
      </c>
      <c r="D29" t="s">
        <v>614</v>
      </c>
      <c r="E29">
        <v>27232</v>
      </c>
    </row>
    <row r="30" spans="1:5" x14ac:dyDescent="0.25">
      <c r="A30" s="39">
        <v>11</v>
      </c>
      <c r="B30" s="39" t="s">
        <v>448</v>
      </c>
      <c r="C30" t="s">
        <v>472</v>
      </c>
      <c r="D30" t="s">
        <v>614</v>
      </c>
      <c r="E30">
        <v>27211</v>
      </c>
    </row>
    <row r="31" spans="1:5" x14ac:dyDescent="0.25">
      <c r="A31" s="39">
        <v>11</v>
      </c>
      <c r="B31" s="39" t="s">
        <v>448</v>
      </c>
      <c r="C31" t="s">
        <v>484</v>
      </c>
      <c r="D31" t="s">
        <v>614</v>
      </c>
      <c r="E31">
        <v>27238</v>
      </c>
    </row>
    <row r="32" spans="1:5" x14ac:dyDescent="0.25">
      <c r="A32" s="39">
        <v>11</v>
      </c>
      <c r="B32" s="39" t="s">
        <v>448</v>
      </c>
      <c r="C32" t="s">
        <v>495</v>
      </c>
      <c r="D32" t="s">
        <v>614</v>
      </c>
      <c r="E32">
        <v>27226</v>
      </c>
    </row>
    <row r="33" spans="1:5" x14ac:dyDescent="0.25">
      <c r="A33" s="39">
        <v>12</v>
      </c>
      <c r="B33" s="39" t="s">
        <v>419</v>
      </c>
      <c r="C33" t="s">
        <v>420</v>
      </c>
      <c r="D33" t="s">
        <v>614</v>
      </c>
      <c r="E33">
        <v>26767</v>
      </c>
    </row>
    <row r="34" spans="1:5" x14ac:dyDescent="0.25">
      <c r="A34" s="39">
        <v>12</v>
      </c>
      <c r="B34" s="39" t="s">
        <v>419</v>
      </c>
      <c r="C34" t="s">
        <v>466</v>
      </c>
      <c r="D34" t="s">
        <v>614</v>
      </c>
      <c r="E34">
        <v>26791</v>
      </c>
    </row>
    <row r="35" spans="1:5" x14ac:dyDescent="0.25">
      <c r="A35" s="39">
        <v>12</v>
      </c>
      <c r="B35" s="39" t="s">
        <v>419</v>
      </c>
      <c r="C35" t="s">
        <v>524</v>
      </c>
      <c r="D35" t="s">
        <v>614</v>
      </c>
      <c r="E35">
        <v>26782</v>
      </c>
    </row>
    <row r="36" spans="1:5" x14ac:dyDescent="0.25">
      <c r="A36" s="39">
        <v>12</v>
      </c>
      <c r="B36" s="39" t="s">
        <v>419</v>
      </c>
      <c r="C36" t="s">
        <v>531</v>
      </c>
      <c r="D36" t="s">
        <v>614</v>
      </c>
      <c r="E36">
        <v>26773</v>
      </c>
    </row>
    <row r="37" spans="1:5" x14ac:dyDescent="0.25">
      <c r="A37" s="39">
        <v>12</v>
      </c>
      <c r="B37" s="39" t="s">
        <v>419</v>
      </c>
      <c r="C37" t="s">
        <v>537</v>
      </c>
      <c r="D37" t="s">
        <v>614</v>
      </c>
      <c r="E37">
        <v>26785</v>
      </c>
    </row>
    <row r="38" spans="1:5" x14ac:dyDescent="0.25">
      <c r="A38" s="39" t="s">
        <v>187</v>
      </c>
      <c r="B38" s="39" t="s">
        <v>558</v>
      </c>
      <c r="C38" t="s">
        <v>559</v>
      </c>
      <c r="D38" t="s">
        <v>614</v>
      </c>
      <c r="E38">
        <v>27637</v>
      </c>
    </row>
    <row r="39" spans="1:5" x14ac:dyDescent="0.25">
      <c r="A39" s="39" t="s">
        <v>187</v>
      </c>
      <c r="B39" s="39" t="s">
        <v>558</v>
      </c>
      <c r="C39" t="s">
        <v>563</v>
      </c>
      <c r="D39" t="s">
        <v>614</v>
      </c>
      <c r="E39">
        <v>27619</v>
      </c>
    </row>
    <row r="40" spans="1:5" x14ac:dyDescent="0.25">
      <c r="A40" s="39" t="s">
        <v>187</v>
      </c>
      <c r="B40" s="39" t="s">
        <v>558</v>
      </c>
      <c r="C40" t="s">
        <v>565</v>
      </c>
      <c r="D40" t="s">
        <v>614</v>
      </c>
      <c r="E40">
        <v>27610</v>
      </c>
    </row>
    <row r="41" spans="1:5" x14ac:dyDescent="0.25">
      <c r="A41" s="39" t="s">
        <v>187</v>
      </c>
      <c r="B41" s="39" t="s">
        <v>558</v>
      </c>
      <c r="C41" t="s">
        <v>582</v>
      </c>
      <c r="D41" t="s">
        <v>614</v>
      </c>
      <c r="E41">
        <v>27628</v>
      </c>
    </row>
    <row r="42" spans="1:5" x14ac:dyDescent="0.25">
      <c r="A42" s="39" t="s">
        <v>187</v>
      </c>
      <c r="B42" s="39" t="s">
        <v>558</v>
      </c>
      <c r="C42" t="s">
        <v>599</v>
      </c>
      <c r="D42" t="s">
        <v>614</v>
      </c>
      <c r="E42">
        <v>27595</v>
      </c>
    </row>
    <row r="43" spans="1:5" x14ac:dyDescent="0.25">
      <c r="A43" s="39" t="s">
        <v>187</v>
      </c>
      <c r="B43" s="39" t="s">
        <v>558</v>
      </c>
      <c r="C43" t="s">
        <v>600</v>
      </c>
      <c r="D43" t="s">
        <v>614</v>
      </c>
      <c r="E43">
        <v>27604</v>
      </c>
    </row>
    <row r="44" spans="1:5" x14ac:dyDescent="0.25">
      <c r="A44" s="39" t="s">
        <v>187</v>
      </c>
      <c r="B44" s="39" t="s">
        <v>558</v>
      </c>
      <c r="C44" t="s">
        <v>606</v>
      </c>
      <c r="D44" t="s">
        <v>614</v>
      </c>
      <c r="E44">
        <v>27601</v>
      </c>
    </row>
    <row r="45" spans="1:5" x14ac:dyDescent="0.25">
      <c r="A45" s="39" t="s">
        <v>92</v>
      </c>
      <c r="B45" s="39" t="s">
        <v>414</v>
      </c>
      <c r="C45" t="s">
        <v>415</v>
      </c>
      <c r="D45" t="s">
        <v>614</v>
      </c>
      <c r="E45">
        <v>27460</v>
      </c>
    </row>
    <row r="46" spans="1:5" x14ac:dyDescent="0.25">
      <c r="A46" s="39" t="s">
        <v>92</v>
      </c>
      <c r="B46" s="39" t="s">
        <v>414</v>
      </c>
      <c r="C46" t="s">
        <v>438</v>
      </c>
      <c r="D46" t="s">
        <v>614</v>
      </c>
      <c r="E46">
        <v>27439</v>
      </c>
    </row>
    <row r="47" spans="1:5" x14ac:dyDescent="0.25">
      <c r="A47" s="39" t="s">
        <v>92</v>
      </c>
      <c r="B47" s="39" t="s">
        <v>414</v>
      </c>
      <c r="C47" t="s">
        <v>444</v>
      </c>
      <c r="D47" t="s">
        <v>614</v>
      </c>
      <c r="E47">
        <v>27442</v>
      </c>
    </row>
    <row r="48" spans="1:5" x14ac:dyDescent="0.25">
      <c r="A48" s="39" t="s">
        <v>92</v>
      </c>
      <c r="B48" s="39" t="s">
        <v>414</v>
      </c>
      <c r="C48" t="s">
        <v>450</v>
      </c>
      <c r="D48" t="s">
        <v>614</v>
      </c>
      <c r="E48">
        <v>27448</v>
      </c>
    </row>
    <row r="49" spans="1:5" x14ac:dyDescent="0.25">
      <c r="A49" s="39" t="s">
        <v>92</v>
      </c>
      <c r="B49" s="39" t="s">
        <v>414</v>
      </c>
      <c r="C49" t="s">
        <v>522</v>
      </c>
      <c r="D49" t="s">
        <v>614</v>
      </c>
      <c r="E49">
        <v>27457</v>
      </c>
    </row>
    <row r="50" spans="1:5" x14ac:dyDescent="0.25">
      <c r="A50" s="39" t="s">
        <v>101</v>
      </c>
      <c r="B50" s="39" t="s">
        <v>439</v>
      </c>
      <c r="C50" t="s">
        <v>440</v>
      </c>
      <c r="D50" t="s">
        <v>614</v>
      </c>
      <c r="E50">
        <v>26905</v>
      </c>
    </row>
    <row r="51" spans="1:5" x14ac:dyDescent="0.25">
      <c r="A51" s="39" t="s">
        <v>101</v>
      </c>
      <c r="B51" s="39" t="s">
        <v>439</v>
      </c>
      <c r="C51" t="s">
        <v>443</v>
      </c>
      <c r="D51" t="s">
        <v>614</v>
      </c>
      <c r="E51">
        <v>26911</v>
      </c>
    </row>
    <row r="52" spans="1:5" x14ac:dyDescent="0.25">
      <c r="A52" s="39" t="s">
        <v>101</v>
      </c>
      <c r="B52" s="39" t="s">
        <v>439</v>
      </c>
      <c r="C52" t="s">
        <v>447</v>
      </c>
      <c r="D52" t="s">
        <v>614</v>
      </c>
      <c r="E52">
        <v>26929</v>
      </c>
    </row>
    <row r="53" spans="1:5" x14ac:dyDescent="0.25">
      <c r="A53" s="39" t="s">
        <v>101</v>
      </c>
      <c r="B53" s="39" t="s">
        <v>439</v>
      </c>
      <c r="C53" t="s">
        <v>469</v>
      </c>
      <c r="D53" t="s">
        <v>614</v>
      </c>
      <c r="E53">
        <v>26944</v>
      </c>
    </row>
    <row r="54" spans="1:5" x14ac:dyDescent="0.25">
      <c r="A54" s="39" t="s">
        <v>101</v>
      </c>
      <c r="B54" s="39" t="s">
        <v>439</v>
      </c>
      <c r="C54" t="s">
        <v>529</v>
      </c>
      <c r="D54" t="s">
        <v>614</v>
      </c>
      <c r="E54">
        <v>26956</v>
      </c>
    </row>
    <row r="55" spans="1:5" x14ac:dyDescent="0.25">
      <c r="A55" s="39" t="s">
        <v>198</v>
      </c>
      <c r="B55" s="39" t="s">
        <v>548</v>
      </c>
      <c r="C55" t="s">
        <v>549</v>
      </c>
      <c r="D55" t="s">
        <v>614</v>
      </c>
      <c r="E55">
        <v>27673</v>
      </c>
    </row>
    <row r="56" spans="1:5" x14ac:dyDescent="0.25">
      <c r="A56" s="39" t="s">
        <v>198</v>
      </c>
      <c r="B56" s="39" t="s">
        <v>548</v>
      </c>
      <c r="C56" t="s">
        <v>564</v>
      </c>
      <c r="D56" t="s">
        <v>614</v>
      </c>
      <c r="E56">
        <v>27667</v>
      </c>
    </row>
    <row r="57" spans="1:5" x14ac:dyDescent="0.25">
      <c r="A57" s="39" t="s">
        <v>198</v>
      </c>
      <c r="B57" s="39" t="s">
        <v>548</v>
      </c>
      <c r="C57" t="s">
        <v>567</v>
      </c>
      <c r="D57" t="s">
        <v>614</v>
      </c>
      <c r="E57">
        <v>27664</v>
      </c>
    </row>
    <row r="58" spans="1:5" x14ac:dyDescent="0.25">
      <c r="A58" s="39" t="s">
        <v>198</v>
      </c>
      <c r="B58" s="39" t="s">
        <v>548</v>
      </c>
      <c r="C58" t="s">
        <v>603</v>
      </c>
      <c r="D58" t="s">
        <v>614</v>
      </c>
      <c r="E58">
        <v>27676</v>
      </c>
    </row>
    <row r="59" spans="1:5" x14ac:dyDescent="0.25">
      <c r="A59" s="39" t="s">
        <v>202</v>
      </c>
      <c r="B59" s="39" t="s">
        <v>546</v>
      </c>
      <c r="C59" t="s">
        <v>547</v>
      </c>
      <c r="D59" t="s">
        <v>614</v>
      </c>
      <c r="E59">
        <v>27508</v>
      </c>
    </row>
    <row r="60" spans="1:5" x14ac:dyDescent="0.25">
      <c r="A60" s="39" t="s">
        <v>202</v>
      </c>
      <c r="B60" s="39" t="s">
        <v>546</v>
      </c>
      <c r="C60" t="s">
        <v>566</v>
      </c>
      <c r="D60" t="s">
        <v>614</v>
      </c>
      <c r="E60">
        <v>27544</v>
      </c>
    </row>
    <row r="61" spans="1:5" x14ac:dyDescent="0.25">
      <c r="A61" s="39" t="s">
        <v>202</v>
      </c>
      <c r="B61" s="39" t="s">
        <v>546</v>
      </c>
      <c r="C61" t="s">
        <v>568</v>
      </c>
      <c r="D61" t="s">
        <v>614</v>
      </c>
      <c r="E61">
        <v>27553</v>
      </c>
    </row>
    <row r="62" spans="1:5" x14ac:dyDescent="0.25">
      <c r="A62" s="39" t="s">
        <v>202</v>
      </c>
      <c r="B62" s="39" t="s">
        <v>546</v>
      </c>
      <c r="C62" t="s">
        <v>592</v>
      </c>
      <c r="D62" t="s">
        <v>614</v>
      </c>
      <c r="E62">
        <v>27511</v>
      </c>
    </row>
    <row r="63" spans="1:5" x14ac:dyDescent="0.25">
      <c r="A63" s="39" t="s">
        <v>202</v>
      </c>
      <c r="B63" s="39" t="s">
        <v>546</v>
      </c>
      <c r="C63" t="s">
        <v>594</v>
      </c>
      <c r="D63" t="s">
        <v>614</v>
      </c>
      <c r="E63">
        <v>27541</v>
      </c>
    </row>
    <row r="64" spans="1:5" x14ac:dyDescent="0.25">
      <c r="A64" s="39" t="s">
        <v>202</v>
      </c>
      <c r="B64" s="39" t="s">
        <v>546</v>
      </c>
      <c r="C64" t="s">
        <v>598</v>
      </c>
      <c r="D64" t="s">
        <v>614</v>
      </c>
      <c r="E64">
        <v>27496</v>
      </c>
    </row>
    <row r="65" spans="1:5" x14ac:dyDescent="0.25">
      <c r="A65" s="39" t="s">
        <v>202</v>
      </c>
      <c r="B65" s="39" t="s">
        <v>546</v>
      </c>
      <c r="C65" t="s">
        <v>601</v>
      </c>
      <c r="D65" t="s">
        <v>614</v>
      </c>
      <c r="E65">
        <v>27526</v>
      </c>
    </row>
    <row r="66" spans="1:5" x14ac:dyDescent="0.25">
      <c r="A66" s="39" t="s">
        <v>114</v>
      </c>
      <c r="B66" s="39" t="s">
        <v>409</v>
      </c>
      <c r="C66" t="s">
        <v>410</v>
      </c>
      <c r="D66" t="s">
        <v>614</v>
      </c>
      <c r="E66">
        <v>26878</v>
      </c>
    </row>
    <row r="67" spans="1:5" x14ac:dyDescent="0.25">
      <c r="A67" s="39" t="s">
        <v>114</v>
      </c>
      <c r="B67" s="39" t="s">
        <v>409</v>
      </c>
      <c r="C67" t="s">
        <v>411</v>
      </c>
      <c r="D67" t="s">
        <v>614</v>
      </c>
      <c r="E67">
        <v>26882</v>
      </c>
    </row>
    <row r="68" spans="1:5" x14ac:dyDescent="0.25">
      <c r="A68" s="39" t="s">
        <v>114</v>
      </c>
      <c r="B68" s="39" t="s">
        <v>409</v>
      </c>
      <c r="C68" t="s">
        <v>416</v>
      </c>
      <c r="D68" t="s">
        <v>614</v>
      </c>
      <c r="E68">
        <v>26876</v>
      </c>
    </row>
    <row r="69" spans="1:5" x14ac:dyDescent="0.25">
      <c r="A69" s="39" t="s">
        <v>114</v>
      </c>
      <c r="B69" s="39" t="s">
        <v>409</v>
      </c>
      <c r="C69" t="s">
        <v>468</v>
      </c>
      <c r="D69" t="s">
        <v>614</v>
      </c>
      <c r="E69">
        <v>26884</v>
      </c>
    </row>
    <row r="70" spans="1:5" x14ac:dyDescent="0.25">
      <c r="A70" s="39" t="s">
        <v>114</v>
      </c>
      <c r="B70" s="39" t="s">
        <v>409</v>
      </c>
      <c r="C70" t="s">
        <v>470</v>
      </c>
      <c r="D70" t="s">
        <v>614</v>
      </c>
      <c r="E70">
        <v>26890</v>
      </c>
    </row>
    <row r="71" spans="1:5" x14ac:dyDescent="0.25">
      <c r="A71" s="39" t="s">
        <v>114</v>
      </c>
      <c r="B71" s="39" t="s">
        <v>409</v>
      </c>
      <c r="C71" t="s">
        <v>530</v>
      </c>
      <c r="D71" t="s">
        <v>614</v>
      </c>
      <c r="E71">
        <v>26898</v>
      </c>
    </row>
    <row r="72" spans="1:5" x14ac:dyDescent="0.25">
      <c r="A72" s="39" t="s">
        <v>219</v>
      </c>
      <c r="B72" s="39" t="s">
        <v>550</v>
      </c>
      <c r="C72" t="s">
        <v>551</v>
      </c>
      <c r="D72" t="s">
        <v>614</v>
      </c>
      <c r="E72">
        <v>27592</v>
      </c>
    </row>
    <row r="73" spans="1:5" x14ac:dyDescent="0.25">
      <c r="A73" s="39" t="s">
        <v>219</v>
      </c>
      <c r="B73" s="39" t="s">
        <v>550</v>
      </c>
      <c r="C73" t="s">
        <v>575</v>
      </c>
      <c r="D73" t="s">
        <v>614</v>
      </c>
      <c r="E73">
        <v>27568</v>
      </c>
    </row>
    <row r="74" spans="1:5" x14ac:dyDescent="0.25">
      <c r="A74" s="39" t="s">
        <v>219</v>
      </c>
      <c r="B74" s="40" t="s">
        <v>550</v>
      </c>
      <c r="C74" t="s">
        <v>580</v>
      </c>
      <c r="D74" t="s">
        <v>614</v>
      </c>
      <c r="E74">
        <v>27559</v>
      </c>
    </row>
    <row r="75" spans="1:5" x14ac:dyDescent="0.25">
      <c r="A75" s="39" t="s">
        <v>219</v>
      </c>
      <c r="B75" s="39" t="s">
        <v>550</v>
      </c>
      <c r="C75" t="s">
        <v>608</v>
      </c>
      <c r="D75" t="s">
        <v>614</v>
      </c>
      <c r="E75">
        <v>27577</v>
      </c>
    </row>
    <row r="76" spans="1:5" x14ac:dyDescent="0.25">
      <c r="A76" s="39" t="s">
        <v>226</v>
      </c>
      <c r="B76" s="39" t="s">
        <v>576</v>
      </c>
      <c r="C76" t="s">
        <v>577</v>
      </c>
      <c r="D76" t="s">
        <v>614</v>
      </c>
      <c r="E76">
        <v>27658</v>
      </c>
    </row>
    <row r="77" spans="1:5" x14ac:dyDescent="0.25">
      <c r="A77" s="39" t="s">
        <v>226</v>
      </c>
      <c r="B77" s="39" t="s">
        <v>576</v>
      </c>
      <c r="C77" t="s">
        <v>591</v>
      </c>
      <c r="D77" t="s">
        <v>614</v>
      </c>
      <c r="E77">
        <v>27655</v>
      </c>
    </row>
    <row r="78" spans="1:5" x14ac:dyDescent="0.25">
      <c r="A78" s="39" t="s">
        <v>127</v>
      </c>
      <c r="B78" s="39" t="s">
        <v>453</v>
      </c>
      <c r="C78" t="s">
        <v>454</v>
      </c>
      <c r="D78" t="s">
        <v>614</v>
      </c>
      <c r="E78">
        <v>27058</v>
      </c>
    </row>
    <row r="79" spans="1:5" x14ac:dyDescent="0.25">
      <c r="A79" s="39" t="s">
        <v>127</v>
      </c>
      <c r="B79" s="39" t="s">
        <v>453</v>
      </c>
      <c r="C79" t="s">
        <v>467</v>
      </c>
      <c r="D79" t="s">
        <v>614</v>
      </c>
      <c r="E79">
        <v>27043</v>
      </c>
    </row>
    <row r="80" spans="1:5" x14ac:dyDescent="0.25">
      <c r="A80" s="39" t="s">
        <v>127</v>
      </c>
      <c r="B80" s="39" t="s">
        <v>453</v>
      </c>
      <c r="C80" t="s">
        <v>492</v>
      </c>
      <c r="D80" t="s">
        <v>614</v>
      </c>
      <c r="E80">
        <v>27073</v>
      </c>
    </row>
    <row r="81" spans="1:5" x14ac:dyDescent="0.25">
      <c r="A81" s="39" t="s">
        <v>138</v>
      </c>
      <c r="B81" s="39" t="s">
        <v>425</v>
      </c>
      <c r="C81" t="s">
        <v>426</v>
      </c>
      <c r="D81" t="s">
        <v>614</v>
      </c>
      <c r="E81">
        <v>26983</v>
      </c>
    </row>
    <row r="82" spans="1:5" x14ac:dyDescent="0.25">
      <c r="A82" s="39" t="s">
        <v>138</v>
      </c>
      <c r="B82" s="39" t="s">
        <v>425</v>
      </c>
      <c r="C82" t="s">
        <v>507</v>
      </c>
      <c r="D82" t="s">
        <v>614</v>
      </c>
      <c r="E82">
        <v>27004</v>
      </c>
    </row>
    <row r="83" spans="1:5" x14ac:dyDescent="0.25">
      <c r="A83" s="39" t="s">
        <v>138</v>
      </c>
      <c r="B83" s="39" t="s">
        <v>425</v>
      </c>
      <c r="C83" t="s">
        <v>512</v>
      </c>
      <c r="D83" t="s">
        <v>614</v>
      </c>
      <c r="E83">
        <v>26995</v>
      </c>
    </row>
    <row r="84" spans="1:5" x14ac:dyDescent="0.25">
      <c r="A84" s="39" t="s">
        <v>138</v>
      </c>
      <c r="B84" s="39" t="s">
        <v>425</v>
      </c>
      <c r="C84" t="s">
        <v>518</v>
      </c>
      <c r="D84" t="s">
        <v>614</v>
      </c>
      <c r="E84">
        <v>27007</v>
      </c>
    </row>
    <row r="85" spans="1:5" x14ac:dyDescent="0.25">
      <c r="A85" s="39" t="s">
        <v>138</v>
      </c>
      <c r="B85" s="39" t="s">
        <v>425</v>
      </c>
      <c r="C85" t="s">
        <v>519</v>
      </c>
      <c r="D85" t="s">
        <v>614</v>
      </c>
      <c r="E85">
        <v>26977</v>
      </c>
    </row>
    <row r="86" spans="1:5" x14ac:dyDescent="0.25">
      <c r="A86" s="39" t="s">
        <v>138</v>
      </c>
      <c r="B86" s="39" t="s">
        <v>425</v>
      </c>
      <c r="C86" t="s">
        <v>520</v>
      </c>
      <c r="D86" t="s">
        <v>614</v>
      </c>
      <c r="E86">
        <v>26968</v>
      </c>
    </row>
    <row r="87" spans="1:5" x14ac:dyDescent="0.25">
      <c r="A87" s="39" t="s">
        <v>149</v>
      </c>
      <c r="B87" s="39" t="s">
        <v>493</v>
      </c>
      <c r="C87" t="s">
        <v>494</v>
      </c>
      <c r="D87" t="s">
        <v>614</v>
      </c>
      <c r="E87">
        <v>27028</v>
      </c>
    </row>
    <row r="88" spans="1:5" x14ac:dyDescent="0.25">
      <c r="A88" s="39" t="s">
        <v>149</v>
      </c>
      <c r="B88" s="39" t="s">
        <v>493</v>
      </c>
      <c r="C88" t="s">
        <v>496</v>
      </c>
      <c r="D88" t="s">
        <v>614</v>
      </c>
      <c r="E88">
        <v>27022</v>
      </c>
    </row>
    <row r="89" spans="1:5" x14ac:dyDescent="0.25">
      <c r="A89" s="39" t="s">
        <v>149</v>
      </c>
      <c r="B89" s="39" t="s">
        <v>493</v>
      </c>
      <c r="C89" t="s">
        <v>516</v>
      </c>
      <c r="D89" t="s">
        <v>614</v>
      </c>
      <c r="E89">
        <v>27031</v>
      </c>
    </row>
    <row r="90" spans="1:5" x14ac:dyDescent="0.25">
      <c r="A90" s="39" t="s">
        <v>149</v>
      </c>
      <c r="B90" s="39" t="s">
        <v>493</v>
      </c>
      <c r="C90" t="s">
        <v>521</v>
      </c>
      <c r="D90" t="s">
        <v>614</v>
      </c>
      <c r="E90">
        <v>27019</v>
      </c>
    </row>
    <row r="91" spans="1:5" x14ac:dyDescent="0.25">
      <c r="A91" s="39" t="s">
        <v>149</v>
      </c>
      <c r="B91" s="39" t="s">
        <v>493</v>
      </c>
      <c r="C91" t="s">
        <v>528</v>
      </c>
      <c r="D91" t="s">
        <v>614</v>
      </c>
      <c r="E91">
        <v>27013</v>
      </c>
    </row>
    <row r="92" spans="1:5" x14ac:dyDescent="0.25">
      <c r="A92" s="39" t="s">
        <v>156</v>
      </c>
      <c r="B92" s="39" t="s">
        <v>412</v>
      </c>
      <c r="C92" t="s">
        <v>413</v>
      </c>
      <c r="D92" t="s">
        <v>614</v>
      </c>
      <c r="E92">
        <v>27094</v>
      </c>
    </row>
    <row r="93" spans="1:5" x14ac:dyDescent="0.25">
      <c r="A93" s="39" t="s">
        <v>156</v>
      </c>
      <c r="B93" s="39" t="s">
        <v>412</v>
      </c>
      <c r="C93" t="s">
        <v>451</v>
      </c>
      <c r="D93" t="s">
        <v>614</v>
      </c>
      <c r="E93">
        <v>27097</v>
      </c>
    </row>
    <row r="94" spans="1:5" x14ac:dyDescent="0.25">
      <c r="A94" s="39" t="s">
        <v>156</v>
      </c>
      <c r="B94" s="39" t="s">
        <v>412</v>
      </c>
      <c r="C94" t="s">
        <v>452</v>
      </c>
      <c r="D94" t="s">
        <v>614</v>
      </c>
      <c r="E94">
        <v>27112</v>
      </c>
    </row>
    <row r="95" spans="1:5" x14ac:dyDescent="0.25">
      <c r="A95" s="39" t="s">
        <v>156</v>
      </c>
      <c r="B95" s="39" t="s">
        <v>412</v>
      </c>
      <c r="C95" t="s">
        <v>471</v>
      </c>
      <c r="D95" t="s">
        <v>614</v>
      </c>
      <c r="E95">
        <v>26809</v>
      </c>
    </row>
    <row r="96" spans="1:5" x14ac:dyDescent="0.25">
      <c r="A96" s="39" t="s">
        <v>156</v>
      </c>
      <c r="B96" s="39" t="s">
        <v>412</v>
      </c>
      <c r="C96" t="s">
        <v>478</v>
      </c>
      <c r="D96" t="s">
        <v>614</v>
      </c>
      <c r="E96">
        <v>26800</v>
      </c>
    </row>
    <row r="97" spans="1:5" x14ac:dyDescent="0.25">
      <c r="A97" s="39" t="s">
        <v>156</v>
      </c>
      <c r="B97" s="39" t="s">
        <v>412</v>
      </c>
      <c r="C97" t="s">
        <v>479</v>
      </c>
      <c r="D97" t="s">
        <v>614</v>
      </c>
      <c r="E97">
        <v>26833</v>
      </c>
    </row>
    <row r="98" spans="1:5" x14ac:dyDescent="0.25">
      <c r="A98" s="39" t="s">
        <v>156</v>
      </c>
      <c r="B98" s="39" t="s">
        <v>412</v>
      </c>
      <c r="C98" t="s">
        <v>482</v>
      </c>
      <c r="D98" t="s">
        <v>614</v>
      </c>
      <c r="E98">
        <v>26857</v>
      </c>
    </row>
    <row r="99" spans="1:5" x14ac:dyDescent="0.25">
      <c r="A99" s="39" t="s">
        <v>156</v>
      </c>
      <c r="B99" s="39" t="s">
        <v>412</v>
      </c>
      <c r="C99" t="s">
        <v>483</v>
      </c>
      <c r="D99" t="s">
        <v>614</v>
      </c>
      <c r="E99">
        <v>26860</v>
      </c>
    </row>
    <row r="100" spans="1:5" x14ac:dyDescent="0.25">
      <c r="A100" s="39" t="s">
        <v>156</v>
      </c>
      <c r="B100" s="39" t="s">
        <v>412</v>
      </c>
      <c r="C100" t="s">
        <v>498</v>
      </c>
      <c r="D100" t="s">
        <v>614</v>
      </c>
      <c r="E100">
        <v>26848</v>
      </c>
    </row>
    <row r="101" spans="1:5" x14ac:dyDescent="0.25">
      <c r="A101" s="39" t="s">
        <v>156</v>
      </c>
      <c r="B101" s="39" t="s">
        <v>412</v>
      </c>
      <c r="C101" t="s">
        <v>503</v>
      </c>
      <c r="D101" t="s">
        <v>614</v>
      </c>
      <c r="E101">
        <v>26803</v>
      </c>
    </row>
    <row r="102" spans="1:5" x14ac:dyDescent="0.25">
      <c r="A102" s="39" t="s">
        <v>156</v>
      </c>
      <c r="B102" s="39" t="s">
        <v>412</v>
      </c>
      <c r="C102" t="s">
        <v>506</v>
      </c>
      <c r="D102" t="s">
        <v>614</v>
      </c>
      <c r="E102">
        <v>26842</v>
      </c>
    </row>
    <row r="103" spans="1:5" x14ac:dyDescent="0.25">
      <c r="A103" s="39" t="s">
        <v>156</v>
      </c>
      <c r="B103" s="39" t="s">
        <v>412</v>
      </c>
      <c r="C103" t="s">
        <v>534</v>
      </c>
      <c r="D103" t="s">
        <v>614</v>
      </c>
      <c r="E103">
        <v>26824</v>
      </c>
    </row>
    <row r="104" spans="1:5" x14ac:dyDescent="0.25">
      <c r="B104" s="39" t="s">
        <v>552</v>
      </c>
      <c r="C104" t="s">
        <v>553</v>
      </c>
      <c r="D104" t="s">
        <v>615</v>
      </c>
      <c r="E104">
        <v>25822</v>
      </c>
    </row>
    <row r="105" spans="1:5" x14ac:dyDescent="0.25">
      <c r="B105" s="39" t="s">
        <v>552</v>
      </c>
      <c r="C105" t="s">
        <v>605</v>
      </c>
      <c r="D105" t="s">
        <v>615</v>
      </c>
      <c r="E105">
        <v>25819</v>
      </c>
    </row>
    <row r="106" spans="1:5" x14ac:dyDescent="0.25">
      <c r="B106" s="39" t="s">
        <v>556</v>
      </c>
      <c r="C106" t="s">
        <v>557</v>
      </c>
      <c r="D106" t="s">
        <v>615</v>
      </c>
      <c r="E106">
        <v>25906</v>
      </c>
    </row>
    <row r="107" spans="1:5" x14ac:dyDescent="0.25">
      <c r="B107" s="39" t="s">
        <v>556</v>
      </c>
      <c r="C107" t="s">
        <v>604</v>
      </c>
      <c r="D107" t="s">
        <v>615</v>
      </c>
      <c r="E107">
        <v>25909</v>
      </c>
    </row>
    <row r="108" spans="1:5" x14ac:dyDescent="0.25">
      <c r="B108" s="39" t="s">
        <v>427</v>
      </c>
      <c r="C108" t="s">
        <v>428</v>
      </c>
      <c r="D108" t="s">
        <v>615</v>
      </c>
      <c r="E108">
        <v>25813</v>
      </c>
    </row>
    <row r="109" spans="1:5" x14ac:dyDescent="0.25">
      <c r="B109" s="39" t="s">
        <v>427</v>
      </c>
      <c r="C109" t="s">
        <v>458</v>
      </c>
      <c r="D109" t="s">
        <v>615</v>
      </c>
      <c r="E109">
        <v>25837</v>
      </c>
    </row>
    <row r="110" spans="1:5" x14ac:dyDescent="0.25">
      <c r="B110" s="39" t="s">
        <v>427</v>
      </c>
      <c r="C110" t="s">
        <v>474</v>
      </c>
      <c r="D110" t="s">
        <v>615</v>
      </c>
      <c r="E110">
        <v>25849</v>
      </c>
    </row>
    <row r="111" spans="1:5" x14ac:dyDescent="0.25">
      <c r="B111" s="39" t="s">
        <v>427</v>
      </c>
      <c r="C111" t="s">
        <v>481</v>
      </c>
      <c r="D111" t="s">
        <v>615</v>
      </c>
      <c r="E111">
        <v>25840</v>
      </c>
    </row>
    <row r="112" spans="1:5" x14ac:dyDescent="0.25">
      <c r="B112" s="39" t="s">
        <v>427</v>
      </c>
      <c r="C112" t="s">
        <v>527</v>
      </c>
      <c r="D112" t="s">
        <v>615</v>
      </c>
      <c r="E112">
        <v>25843</v>
      </c>
    </row>
    <row r="113" spans="2:5" x14ac:dyDescent="0.25">
      <c r="B113" s="39" t="s">
        <v>427</v>
      </c>
      <c r="C113" t="s">
        <v>532</v>
      </c>
      <c r="D113" t="s">
        <v>615</v>
      </c>
      <c r="E113">
        <v>25846</v>
      </c>
    </row>
    <row r="114" spans="2:5" x14ac:dyDescent="0.25">
      <c r="B114" s="39" t="s">
        <v>571</v>
      </c>
      <c r="C114" t="s">
        <v>572</v>
      </c>
      <c r="D114" t="s">
        <v>615</v>
      </c>
      <c r="E114">
        <v>25777</v>
      </c>
    </row>
    <row r="115" spans="2:5" x14ac:dyDescent="0.25">
      <c r="B115" s="39" t="s">
        <v>571</v>
      </c>
      <c r="C115" t="s">
        <v>586</v>
      </c>
      <c r="D115" t="s">
        <v>615</v>
      </c>
      <c r="E115">
        <v>25792</v>
      </c>
    </row>
    <row r="116" spans="2:5" x14ac:dyDescent="0.25">
      <c r="B116" s="39" t="s">
        <v>571</v>
      </c>
      <c r="C116" t="s">
        <v>588</v>
      </c>
      <c r="D116" t="s">
        <v>615</v>
      </c>
      <c r="E116">
        <v>25780</v>
      </c>
    </row>
    <row r="117" spans="2:5" x14ac:dyDescent="0.25">
      <c r="B117" s="39" t="s">
        <v>571</v>
      </c>
      <c r="C117" t="s">
        <v>602</v>
      </c>
      <c r="D117" t="s">
        <v>615</v>
      </c>
      <c r="E117">
        <v>25807</v>
      </c>
    </row>
    <row r="118" spans="2:5" x14ac:dyDescent="0.25">
      <c r="B118" s="39" t="s">
        <v>461</v>
      </c>
      <c r="C118" t="s">
        <v>462</v>
      </c>
      <c r="D118" t="s">
        <v>615</v>
      </c>
      <c r="E118">
        <v>25942</v>
      </c>
    </row>
    <row r="119" spans="2:5" x14ac:dyDescent="0.25">
      <c r="B119" s="39" t="s">
        <v>461</v>
      </c>
      <c r="C119" t="s">
        <v>465</v>
      </c>
      <c r="D119" t="s">
        <v>615</v>
      </c>
      <c r="E119">
        <v>25951</v>
      </c>
    </row>
    <row r="120" spans="2:5" x14ac:dyDescent="0.25">
      <c r="B120" s="39" t="s">
        <v>461</v>
      </c>
      <c r="C120" t="s">
        <v>509</v>
      </c>
      <c r="D120" t="s">
        <v>615</v>
      </c>
      <c r="E120">
        <v>25945</v>
      </c>
    </row>
    <row r="121" spans="2:5" x14ac:dyDescent="0.25">
      <c r="B121" s="39" t="s">
        <v>544</v>
      </c>
      <c r="C121" t="s">
        <v>545</v>
      </c>
      <c r="D121" t="s">
        <v>615</v>
      </c>
      <c r="E121">
        <v>25867</v>
      </c>
    </row>
    <row r="122" spans="2:5" x14ac:dyDescent="0.25">
      <c r="B122" s="39" t="s">
        <v>544</v>
      </c>
      <c r="C122" t="s">
        <v>593</v>
      </c>
      <c r="D122" t="s">
        <v>615</v>
      </c>
      <c r="E122">
        <v>25858</v>
      </c>
    </row>
    <row r="123" spans="2:5" x14ac:dyDescent="0.25">
      <c r="B123" s="39" t="s">
        <v>544</v>
      </c>
      <c r="C123" t="s">
        <v>596</v>
      </c>
      <c r="D123" t="s">
        <v>615</v>
      </c>
      <c r="E123">
        <v>25882</v>
      </c>
    </row>
    <row r="124" spans="2:5" x14ac:dyDescent="0.25">
      <c r="B124" s="39" t="s">
        <v>544</v>
      </c>
      <c r="C124" t="s">
        <v>597</v>
      </c>
      <c r="D124" t="s">
        <v>615</v>
      </c>
      <c r="E124">
        <v>25864</v>
      </c>
    </row>
    <row r="125" spans="2:5" x14ac:dyDescent="0.25">
      <c r="B125" s="39" t="s">
        <v>431</v>
      </c>
      <c r="C125" t="s">
        <v>432</v>
      </c>
      <c r="D125" t="s">
        <v>615</v>
      </c>
      <c r="E125">
        <v>25915</v>
      </c>
    </row>
    <row r="126" spans="2:5" x14ac:dyDescent="0.25">
      <c r="B126" s="39" t="s">
        <v>431</v>
      </c>
      <c r="C126" t="s">
        <v>511</v>
      </c>
      <c r="D126" t="s">
        <v>615</v>
      </c>
      <c r="E126">
        <v>25920</v>
      </c>
    </row>
    <row r="127" spans="2:5" x14ac:dyDescent="0.25">
      <c r="B127" s="39" t="s">
        <v>431</v>
      </c>
      <c r="C127" t="s">
        <v>514</v>
      </c>
      <c r="D127" t="s">
        <v>615</v>
      </c>
      <c r="E127">
        <v>25891</v>
      </c>
    </row>
    <row r="128" spans="2:5" x14ac:dyDescent="0.25">
      <c r="B128" s="39" t="s">
        <v>431</v>
      </c>
      <c r="C128" t="s">
        <v>526</v>
      </c>
      <c r="D128" t="s">
        <v>615</v>
      </c>
      <c r="E128">
        <v>25888</v>
      </c>
    </row>
    <row r="129" spans="2:5" x14ac:dyDescent="0.25">
      <c r="B129" s="39" t="s">
        <v>431</v>
      </c>
      <c r="C129" t="s">
        <v>539</v>
      </c>
      <c r="D129" t="s">
        <v>615</v>
      </c>
      <c r="E129">
        <v>25912</v>
      </c>
    </row>
    <row r="130" spans="2:5" x14ac:dyDescent="0.25">
      <c r="B130" s="39" t="s">
        <v>433</v>
      </c>
      <c r="C130" t="s">
        <v>434</v>
      </c>
      <c r="D130" t="s">
        <v>615</v>
      </c>
      <c r="E130">
        <v>25760</v>
      </c>
    </row>
    <row r="131" spans="2:5" x14ac:dyDescent="0.25">
      <c r="B131" s="39" t="s">
        <v>433</v>
      </c>
      <c r="C131" t="s">
        <v>456</v>
      </c>
      <c r="D131" t="s">
        <v>615</v>
      </c>
      <c r="E131">
        <v>25771</v>
      </c>
    </row>
    <row r="132" spans="2:5" x14ac:dyDescent="0.25">
      <c r="B132" s="39" t="s">
        <v>433</v>
      </c>
      <c r="C132" t="s">
        <v>486</v>
      </c>
      <c r="D132" t="s">
        <v>615</v>
      </c>
      <c r="E132">
        <v>25768</v>
      </c>
    </row>
    <row r="133" spans="2:5" x14ac:dyDescent="0.25">
      <c r="B133" s="39" t="s">
        <v>433</v>
      </c>
      <c r="C133" t="s">
        <v>489</v>
      </c>
      <c r="D133" t="s">
        <v>615</v>
      </c>
      <c r="E133">
        <v>25750</v>
      </c>
    </row>
    <row r="134" spans="2:5" x14ac:dyDescent="0.25">
      <c r="B134" s="39" t="s">
        <v>433</v>
      </c>
      <c r="C134" t="s">
        <v>533</v>
      </c>
      <c r="D134" t="s">
        <v>615</v>
      </c>
      <c r="E134">
        <v>25747</v>
      </c>
    </row>
    <row r="135" spans="2:5" x14ac:dyDescent="0.25">
      <c r="B135" s="39" t="s">
        <v>417</v>
      </c>
      <c r="C135" t="s">
        <v>418</v>
      </c>
      <c r="D135" t="s">
        <v>615</v>
      </c>
      <c r="E135">
        <v>25975</v>
      </c>
    </row>
    <row r="136" spans="2:5" x14ac:dyDescent="0.25">
      <c r="B136" s="39" t="s">
        <v>417</v>
      </c>
      <c r="C136" t="s">
        <v>437</v>
      </c>
      <c r="D136" t="s">
        <v>615</v>
      </c>
      <c r="E136">
        <v>25987</v>
      </c>
    </row>
    <row r="137" spans="2:5" x14ac:dyDescent="0.25">
      <c r="B137" s="39" t="s">
        <v>417</v>
      </c>
      <c r="C137" t="s">
        <v>477</v>
      </c>
      <c r="D137" t="s">
        <v>615</v>
      </c>
      <c r="E137">
        <v>25966</v>
      </c>
    </row>
    <row r="138" spans="2:5" x14ac:dyDescent="0.25">
      <c r="B138" s="39" t="s">
        <v>417</v>
      </c>
      <c r="C138" t="s">
        <v>535</v>
      </c>
      <c r="D138" t="s">
        <v>615</v>
      </c>
      <c r="E138">
        <v>25978</v>
      </c>
    </row>
    <row r="139" spans="2:5" x14ac:dyDescent="0.25">
      <c r="B139" s="39" t="s">
        <v>417</v>
      </c>
      <c r="C139" t="s">
        <v>536</v>
      </c>
      <c r="D139" t="s">
        <v>615</v>
      </c>
      <c r="E139">
        <v>25969</v>
      </c>
    </row>
    <row r="140" spans="2:5" x14ac:dyDescent="0.25">
      <c r="B140" s="39" t="s">
        <v>421</v>
      </c>
      <c r="C140" t="s">
        <v>422</v>
      </c>
      <c r="D140" t="s">
        <v>613</v>
      </c>
      <c r="E140">
        <v>26560</v>
      </c>
    </row>
    <row r="141" spans="2:5" x14ac:dyDescent="0.25">
      <c r="B141" s="39" t="s">
        <v>421</v>
      </c>
      <c r="C141" t="s">
        <v>480</v>
      </c>
      <c r="D141" t="s">
        <v>613</v>
      </c>
      <c r="E141">
        <v>26566</v>
      </c>
    </row>
    <row r="142" spans="2:5" x14ac:dyDescent="0.25">
      <c r="B142" s="39" t="s">
        <v>421</v>
      </c>
      <c r="C142" t="s">
        <v>504</v>
      </c>
      <c r="D142" t="s">
        <v>613</v>
      </c>
      <c r="E142">
        <v>26572</v>
      </c>
    </row>
    <row r="143" spans="2:5" x14ac:dyDescent="0.25">
      <c r="B143" s="40" t="s">
        <v>405</v>
      </c>
      <c r="C143" t="s">
        <v>406</v>
      </c>
      <c r="D143" t="s">
        <v>613</v>
      </c>
      <c r="E143">
        <v>26732</v>
      </c>
    </row>
    <row r="144" spans="2:5" x14ac:dyDescent="0.25">
      <c r="B144" s="39" t="s">
        <v>561</v>
      </c>
      <c r="C144" t="s">
        <v>562</v>
      </c>
      <c r="D144" t="s">
        <v>613</v>
      </c>
      <c r="E144">
        <v>26590</v>
      </c>
    </row>
    <row r="145" spans="2:5" x14ac:dyDescent="0.25">
      <c r="B145" s="39" t="s">
        <v>561</v>
      </c>
      <c r="C145" t="s">
        <v>569</v>
      </c>
      <c r="D145" t="s">
        <v>613</v>
      </c>
      <c r="E145">
        <v>26596</v>
      </c>
    </row>
    <row r="146" spans="2:5" x14ac:dyDescent="0.25">
      <c r="B146" s="39" t="s">
        <v>561</v>
      </c>
      <c r="C146" t="s">
        <v>583</v>
      </c>
      <c r="D146" t="s">
        <v>613</v>
      </c>
      <c r="E146">
        <v>26608</v>
      </c>
    </row>
    <row r="147" spans="2:5" x14ac:dyDescent="0.25">
      <c r="B147" s="39" t="s">
        <v>561</v>
      </c>
      <c r="C147" t="s">
        <v>589</v>
      </c>
      <c r="D147" t="s">
        <v>613</v>
      </c>
      <c r="E147">
        <v>26575</v>
      </c>
    </row>
    <row r="148" spans="2:5" x14ac:dyDescent="0.25">
      <c r="B148" s="39" t="s">
        <v>561</v>
      </c>
      <c r="C148" t="s">
        <v>590</v>
      </c>
      <c r="D148" t="s">
        <v>613</v>
      </c>
      <c r="E148">
        <v>26617</v>
      </c>
    </row>
    <row r="149" spans="2:5" x14ac:dyDescent="0.25">
      <c r="B149" s="39" t="s">
        <v>561</v>
      </c>
      <c r="C149" t="s">
        <v>607</v>
      </c>
      <c r="D149" t="s">
        <v>613</v>
      </c>
      <c r="E149">
        <v>26584</v>
      </c>
    </row>
    <row r="150" spans="2:5" x14ac:dyDescent="0.25">
      <c r="B150" s="39" t="s">
        <v>554</v>
      </c>
      <c r="C150" t="s">
        <v>555</v>
      </c>
      <c r="D150" t="s">
        <v>613</v>
      </c>
      <c r="E150">
        <v>26638</v>
      </c>
    </row>
    <row r="151" spans="2:5" x14ac:dyDescent="0.25">
      <c r="B151" s="39" t="s">
        <v>554</v>
      </c>
      <c r="C151" t="s">
        <v>560</v>
      </c>
      <c r="D151" t="s">
        <v>613</v>
      </c>
      <c r="E151">
        <v>26656</v>
      </c>
    </row>
    <row r="152" spans="2:5" x14ac:dyDescent="0.25">
      <c r="B152" s="39" t="s">
        <v>554</v>
      </c>
      <c r="C152" t="s">
        <v>578</v>
      </c>
      <c r="D152" t="s">
        <v>613</v>
      </c>
      <c r="E152">
        <v>26647</v>
      </c>
    </row>
    <row r="153" spans="2:5" x14ac:dyDescent="0.25">
      <c r="B153" s="39" t="s">
        <v>554</v>
      </c>
      <c r="C153" t="s">
        <v>579</v>
      </c>
      <c r="D153" t="s">
        <v>613</v>
      </c>
      <c r="E153">
        <v>26641</v>
      </c>
    </row>
    <row r="154" spans="2:5" x14ac:dyDescent="0.25">
      <c r="B154" s="39" t="s">
        <v>554</v>
      </c>
      <c r="C154" t="s">
        <v>581</v>
      </c>
      <c r="D154" t="s">
        <v>613</v>
      </c>
      <c r="E154">
        <v>26620</v>
      </c>
    </row>
    <row r="155" spans="2:5" x14ac:dyDescent="0.25">
      <c r="B155" s="39" t="s">
        <v>554</v>
      </c>
      <c r="C155" t="s">
        <v>609</v>
      </c>
      <c r="D155" t="s">
        <v>613</v>
      </c>
      <c r="E155">
        <v>26632</v>
      </c>
    </row>
    <row r="156" spans="2:5" x14ac:dyDescent="0.25">
      <c r="B156" s="39" t="s">
        <v>573</v>
      </c>
      <c r="C156" t="s">
        <v>574</v>
      </c>
      <c r="D156" t="s">
        <v>613</v>
      </c>
      <c r="E156">
        <v>26680</v>
      </c>
    </row>
    <row r="157" spans="2:5" x14ac:dyDescent="0.25">
      <c r="B157" s="39" t="s">
        <v>573</v>
      </c>
      <c r="C157" t="s">
        <v>584</v>
      </c>
      <c r="D157" t="s">
        <v>613</v>
      </c>
      <c r="E157">
        <v>26659</v>
      </c>
    </row>
    <row r="158" spans="2:5" x14ac:dyDescent="0.25">
      <c r="B158" s="39" t="s">
        <v>573</v>
      </c>
      <c r="C158" t="s">
        <v>585</v>
      </c>
      <c r="D158" t="s">
        <v>613</v>
      </c>
      <c r="E158">
        <v>26662</v>
      </c>
    </row>
    <row r="159" spans="2:5" x14ac:dyDescent="0.25">
      <c r="B159" s="39" t="s">
        <v>573</v>
      </c>
      <c r="C159" t="s">
        <v>595</v>
      </c>
      <c r="D159" t="s">
        <v>613</v>
      </c>
      <c r="E159">
        <v>26686</v>
      </c>
    </row>
    <row r="160" spans="2:5" x14ac:dyDescent="0.25">
      <c r="B160" s="39" t="s">
        <v>490</v>
      </c>
      <c r="C160" t="s">
        <v>491</v>
      </c>
      <c r="D160" t="s">
        <v>613</v>
      </c>
      <c r="E160">
        <v>26704</v>
      </c>
    </row>
    <row r="161" spans="2:5" x14ac:dyDescent="0.25">
      <c r="B161" s="39" t="s">
        <v>490</v>
      </c>
      <c r="C161" t="s">
        <v>510</v>
      </c>
      <c r="D161" t="s">
        <v>613</v>
      </c>
      <c r="E161">
        <v>26710</v>
      </c>
    </row>
    <row r="162" spans="2:5" x14ac:dyDescent="0.25">
      <c r="B162" s="39" t="s">
        <v>490</v>
      </c>
      <c r="C162" t="s">
        <v>517</v>
      </c>
      <c r="D162" t="s">
        <v>613</v>
      </c>
      <c r="E162">
        <v>26713</v>
      </c>
    </row>
    <row r="163" spans="2:5" x14ac:dyDescent="0.25">
      <c r="B163" s="39" t="s">
        <v>490</v>
      </c>
      <c r="C163" t="s">
        <v>523</v>
      </c>
      <c r="D163" t="s">
        <v>613</v>
      </c>
      <c r="E163">
        <v>26725</v>
      </c>
    </row>
    <row r="164" spans="2:5" x14ac:dyDescent="0.25">
      <c r="B164" s="39" t="s">
        <v>490</v>
      </c>
      <c r="C164" t="s">
        <v>570</v>
      </c>
      <c r="D164" t="s">
        <v>613</v>
      </c>
      <c r="E164">
        <v>26728</v>
      </c>
    </row>
    <row r="165" spans="2:5" x14ac:dyDescent="0.25">
      <c r="B165" s="39" t="s">
        <v>499</v>
      </c>
      <c r="C165" t="s">
        <v>500</v>
      </c>
      <c r="D165" t="s">
        <v>613</v>
      </c>
      <c r="E165">
        <v>26542</v>
      </c>
    </row>
    <row r="166" spans="2:5" x14ac:dyDescent="0.25">
      <c r="B166" s="39" t="s">
        <v>499</v>
      </c>
      <c r="C166" t="s">
        <v>501</v>
      </c>
      <c r="D166" t="s">
        <v>613</v>
      </c>
      <c r="E166">
        <v>26536</v>
      </c>
    </row>
    <row r="167" spans="2:5" x14ac:dyDescent="0.25">
      <c r="B167" s="39" t="s">
        <v>499</v>
      </c>
      <c r="C167" t="s">
        <v>505</v>
      </c>
      <c r="D167" t="s">
        <v>613</v>
      </c>
      <c r="E167">
        <v>26526</v>
      </c>
    </row>
    <row r="168" spans="2:5" x14ac:dyDescent="0.25">
      <c r="B168" s="39" t="s">
        <v>499</v>
      </c>
      <c r="C168" t="s">
        <v>540</v>
      </c>
      <c r="D168" t="s">
        <v>613</v>
      </c>
      <c r="E168">
        <v>26506</v>
      </c>
    </row>
    <row r="169" spans="2:5" x14ac:dyDescent="0.25">
      <c r="B169" s="39" t="s">
        <v>499</v>
      </c>
      <c r="C169" t="s">
        <v>587</v>
      </c>
      <c r="D169" t="s">
        <v>613</v>
      </c>
      <c r="E169">
        <v>26545</v>
      </c>
    </row>
  </sheetData>
  <conditionalFormatting sqref="D1">
    <cfRule type="notContainsBlanks" dxfId="0" priority="1">
      <formula>LEN(TRIM(D1))&gt;0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Phan cum</vt:lpstr>
      <vt:lpstr>DM 168PX_KV_QUẬN</vt:lpstr>
      <vt:lpstr>'Phan cum'!Print_Titles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Dong Cuong</dc:creator>
  <cp:lastModifiedBy>Ánh Huỳnh</cp:lastModifiedBy>
  <cp:lastPrinted>2025-06-13T03:07:27Z</cp:lastPrinted>
  <dcterms:created xsi:type="dcterms:W3CDTF">2025-06-12T07:53:56Z</dcterms:created>
  <dcterms:modified xsi:type="dcterms:W3CDTF">2026-01-20T03:48:36Z</dcterms:modified>
</cp:coreProperties>
</file>